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afaelalmeida/lifetrek/output/linkedin_post_audit/"/>
    </mc:Choice>
  </mc:AlternateContent>
  <xr:revisionPtr revIDLastSave="0" documentId="8_{9A225374-22C8-6549-A53A-4961BDEF12E3}" xr6:coauthVersionLast="47" xr6:coauthVersionMax="47" xr10:uidLastSave="{00000000-0000-0000-0000-000000000000}"/>
  <bookViews>
    <workbookView xWindow="0" yWindow="740" windowWidth="29400" windowHeight="17480" activeTab="5" xr2:uid="{00000000-000D-0000-FFFF-FFFF00000000}"/>
  </bookViews>
  <sheets>
    <sheet name="Resumo" sheetId="1" r:id="rId1"/>
    <sheet name="Dados limpos" sheetId="2" r:id="rId2"/>
    <sheet name="Clusters de impressões" sheetId="3" r:id="rId3"/>
    <sheet name="Crescimento" sheetId="4" r:id="rId4"/>
    <sheet name="Regressão" sheetId="5" r:id="rId5"/>
    <sheet name="Top e piores 10%" sheetId="6" r:id="rId6"/>
    <sheet name="Resumo de ganchos" sheetId="7" r:id="rId7"/>
    <sheet name="Resumo de consciência" sheetId="8" r:id="rId8"/>
    <sheet name="Posts excluídos" sheetId="9" r:id="rId9"/>
    <sheet name="Notas" sheetId="10" r:id="rId10"/>
  </sheets>
  <calcPr calcId="0"/>
</workbook>
</file>

<file path=xl/sharedStrings.xml><?xml version="1.0" encoding="utf-8"?>
<sst xmlns="http://schemas.openxmlformats.org/spreadsheetml/2006/main" count="960" uniqueCount="261">
  <si>
    <t>Modelagem de posts do LinkedIn - Lifetrek</t>
  </si>
  <si>
    <t>Base sem outliers: Vagas de Emprego, Nosso site está no ar e o repost/LinkedIn de vaga foram removidos dos modelos.</t>
  </si>
  <si>
    <t>Fatores mais fortes para impressões</t>
  </si>
  <si>
    <t>item</t>
  </si>
  <si>
    <t>insight</t>
  </si>
  <si>
    <t>modelo</t>
  </si>
  <si>
    <t>alvo</t>
  </si>
  <si>
    <t>fator</t>
  </si>
  <si>
    <t>beta_padronizado</t>
  </si>
  <si>
    <t>direcao</t>
  </si>
  <si>
    <t>Posts no dataset limpo</t>
  </si>
  <si>
    <t>impressões_conteúdo_tempo</t>
  </si>
  <si>
    <t>impressões</t>
  </si>
  <si>
    <t>tema_operações_capacidade</t>
  </si>
  <si>
    <t>positiva</t>
  </si>
  <si>
    <t>Posts usados nos modelos</t>
  </si>
  <si>
    <t>dias_desde_inicio</t>
  </si>
  <si>
    <t>negativa</t>
  </si>
  <si>
    <t>Posts excluídos</t>
  </si>
  <si>
    <t>3 posts de lançamento/recrutamento removidos para não distorcer o modelo.</t>
  </si>
  <si>
    <t>tema_metrologia_validação</t>
  </si>
  <si>
    <t>Cluster de altas impressões</t>
  </si>
  <si>
    <t>4 posts; média de 662.8 impressões e 23.5 reações.</t>
  </si>
  <si>
    <t>palavras_na_legenda</t>
  </si>
  <si>
    <t>O que os top posts têm em comum</t>
  </si>
  <si>
    <t>Ganchos declarativos, tensão operacional clara, tema de operações/capacidade ou metrologia/validação, e pouca dependência de carrossel.</t>
  </si>
  <si>
    <t>é_carrossel</t>
  </si>
  <si>
    <t>Crescimento de impressões</t>
  </si>
  <si>
    <t>5.08 impressões/semana; R² 0.013. Crescimento fraco: tempo sozinho quase não explica alcance.</t>
  </si>
  <si>
    <t>caracteres_no_gancho</t>
  </si>
  <si>
    <t>Crescimento de reações</t>
  </si>
  <si>
    <t>0.46 reações/semana; R² 0.078. Há melhora leve, mas ainda pouco explicada apenas pelo tempo.</t>
  </si>
  <si>
    <t>gancho_é_pergunta</t>
  </si>
  <si>
    <t>Regressão de impressões</t>
  </si>
  <si>
    <t>R² 0.437; R² ajustado 0.107. Sinal direcional, não causal.</t>
  </si>
  <si>
    <t>consciência_problema</t>
  </si>
  <si>
    <t>Regressão de reações</t>
  </si>
  <si>
    <t>R² 0.494; R² ajustado 0.196. Quando adicionamos impressões, R² sobe para 0.942.</t>
  </si>
  <si>
    <t>Conclusão estatística</t>
  </si>
  <si>
    <t>Reações parecem ser majoritariamente função de exposição. Para aumentar reação, primeiro precisamos aumentar alcance qualificado.</t>
  </si>
  <si>
    <t>Top/piores 10%</t>
  </si>
  <si>
    <t>A aba Top e piores 10% compara features dos 3 melhores e 3 piores posts por impressões e por reações, sempre sem os outliers removidos.</t>
  </si>
  <si>
    <t>Fatores mais fortes para reações</t>
  </si>
  <si>
    <t>reações_conteúdo_tempo</t>
  </si>
  <si>
    <t>reações</t>
  </si>
  <si>
    <t>consciência_solução</t>
  </si>
  <si>
    <t>prioridade</t>
  </si>
  <si>
    <t>sugestao</t>
  </si>
  <si>
    <t>Rodar um teste de 4 semanas com 2 posts/semana em operações/capacidade e metrologia/validação, mantendo formato visual parecido para isolar o efeito do tema.</t>
  </si>
  <si>
    <t>Abrir com tensão operacional concreta: capacidade não é máquina; validação não é inspeção final; gargalo nem sempre está na usinagem.</t>
  </si>
  <si>
    <t>Separar posts institucionais, vagas e anúncios da análise editorial. Eles têm outro objetivo e poluem o modelo de conteúdo técnico.</t>
  </si>
  <si>
    <t>Não concluir ainda que carrossel é ruim. O sinal negativo pode ser amostra pequena e tema. Testar o mesmo tema em imagem única vs carrossel.</t>
  </si>
  <si>
    <t>Repetir a estrutura dos melhores posts: risco específico -&gt; por que o processo comum falha -&gt; evidência Lifetrek -&gt; resultado para OEM.</t>
  </si>
  <si>
    <t>data</t>
  </si>
  <si>
    <t>mes</t>
  </si>
  <si>
    <t>formato</t>
  </si>
  <si>
    <t>gancho</t>
  </si>
  <si>
    <t>tipo_de_gancho</t>
  </si>
  <si>
    <t>estagio_de_consciencia</t>
  </si>
  <si>
    <t>tema</t>
  </si>
  <si>
    <t>grupo_de_tema</t>
  </si>
  <si>
    <t>cluster_de_impressoes</t>
  </si>
  <si>
    <t>impressoes</t>
  </si>
  <si>
    <t>reacoes</t>
  </si>
  <si>
    <t>cliques_exportados</t>
  </si>
  <si>
    <t>ctr_exportado_pct</t>
  </si>
  <si>
    <t>reposts</t>
  </si>
  <si>
    <t>visualizacoes_video</t>
  </si>
  <si>
    <t>impressoes_exportadas</t>
  </si>
  <si>
    <t>reacoes_exportadas</t>
  </si>
  <si>
    <t>palavras_legenda</t>
  </si>
  <si>
    <t>caracteres_gancho</t>
  </si>
  <si>
    <t>eh_carrossel</t>
  </si>
  <si>
    <t>eh_video</t>
  </si>
  <si>
    <t>gancho_eh_pergunta</t>
  </si>
  <si>
    <t>1/20/26</t>
  </si>
  <si>
    <t>12/31/25</t>
  </si>
  <si>
    <t>Imagem</t>
  </si>
  <si>
    <t>O CAD aceita tudo. A máquina, não.</t>
  </si>
  <si>
    <t>Declaração</t>
  </si>
  <si>
    <t>Consciente do produto</t>
  </si>
  <si>
    <t>DFM / manufaturabilidade</t>
  </si>
  <si>
    <t>Protótipo / DFM</t>
  </si>
  <si>
    <t>Médias impressões</t>
  </si>
  <si>
    <t>1/21/26</t>
  </si>
  <si>
    <t>Carrossel</t>
  </si>
  <si>
    <t>Medicina personalizada não é mais slide de congresso – é o desafio real batendo na porta do P&amp;D.</t>
  </si>
  <si>
    <t>Medicina personalizada</t>
  </si>
  <si>
    <t>Produto especializado</t>
  </si>
  <si>
    <t>1/22/26</t>
  </si>
  <si>
    <t>Em 2020/21 a cadeia global tremeu.</t>
  </si>
  <si>
    <t>Consciente da solução</t>
  </si>
  <si>
    <t>Supply chain / manufatura local</t>
  </si>
  <si>
    <t>Supply chain</t>
  </si>
  <si>
    <t>Baixas impressões</t>
  </si>
  <si>
    <t>1/26/26</t>
  </si>
  <si>
    <t>A Física por Trás da Validação de Implantes: Por que 3D + CNC?</t>
  </si>
  <si>
    <t>Pergunta</t>
  </si>
  <si>
    <t>Protótipo até escala / industrialização</t>
  </si>
  <si>
    <t>1/27/26</t>
  </si>
  <si>
    <t>A transição do protótipo para a produção em escala é um dos momentos mais críticos no desenvolvimento de um dispositivo médico.</t>
  </si>
  <si>
    <t>Mais consciente</t>
  </si>
  <si>
    <t>2/4/26</t>
  </si>
  <si>
    <t>1/31/26</t>
  </si>
  <si>
    <t>Você pode ter o melhor design e o material mais nobre.</t>
  </si>
  <si>
    <t>Consciente do problema</t>
  </si>
  <si>
    <t>Sala limpa / controle de contaminação</t>
  </si>
  <si>
    <t>Sala limpa</t>
  </si>
  <si>
    <t>2/10/26</t>
  </si>
  <si>
    <t>No seu P&amp;L, sustentabilidade é custo extra ou vantagem competitiva?</t>
  </si>
  <si>
    <t>Sustentabilidade / eficiência produtiva</t>
  </si>
  <si>
    <t>Outros</t>
  </si>
  <si>
    <t>Pureza não é um diferencial, é um requisito regulatório crítico.</t>
  </si>
  <si>
    <t>2/15/26</t>
  </si>
  <si>
    <t>Em dispositivos médicos, “parece certo” não é suficiente.</t>
  </si>
  <si>
    <t>Metrologia / validação dimensional</t>
  </si>
  <si>
    <t>Metrologia / validação</t>
  </si>
  <si>
    <t>Altas impressões</t>
  </si>
  <si>
    <t>2/18/26</t>
  </si>
  <si>
    <t>"Tamanho único" funciona bem… até deixar de funcionar.</t>
  </si>
  <si>
    <t>2/23/26</t>
  </si>
  <si>
    <t>ANVISA, FDA, ISO 13485, dossiês, validação, rastreabilidade.</t>
  </si>
  <si>
    <t>2/24/26</t>
  </si>
  <si>
    <t>Por trás de todo dispositivo médico que chega com segurança ao paciente, existe uma cadeia silenciosa de fabricação que não pode falhar.</t>
  </si>
  <si>
    <t>2/25/26</t>
  </si>
  <si>
    <t>Na maioria das fábricas, qualidade é um departamento.</t>
  </si>
  <si>
    <t>2/26/26</t>
  </si>
  <si>
    <t>No papel, importar parece mais barato.</t>
  </si>
  <si>
    <t>Qualidade / zero defeito</t>
  </si>
  <si>
    <t>Qualidade</t>
  </si>
  <si>
    <t>3/3/26</t>
  </si>
  <si>
    <t>2/28/26</t>
  </si>
  <si>
    <t>Em dispositivos médicos, o maior desafio não é produzir o primeiro protótipo.</t>
  </si>
  <si>
    <t>3/4/26</t>
  </si>
  <si>
    <t>Em dispositivos médicos, cada novo fornecedor adiciona um novo ponto de falha.</t>
  </si>
  <si>
    <t>3/9/26</t>
  </si>
  <si>
    <t>Vídeo</t>
  </si>
  <si>
    <t>Você já questionou se uma sala limpa ISO 7 no Brasil consegue realmente competir com o padrão das plantas europeias que você visita?</t>
  </si>
  <si>
    <t>Sem impressões atuais</t>
  </si>
  <si>
    <t>3/11/26</t>
  </si>
  <si>
    <t>Em implantes com geometria complexa, o problema muitas vezes não está no CAD, mas na quantidade de setups até a peça final.</t>
  </si>
  <si>
    <t>3/12/26</t>
  </si>
  <si>
    <t>Em dispositivos médicos, UDI não é só um código. É o que conecta um evento adverso de volta ao fabricante, ao lote e ao paciente certo.</t>
  </si>
  <si>
    <t>Rastreabilidade regulatória / UDI</t>
  </si>
  <si>
    <t>3/16/26</t>
  </si>
  <si>
    <t>As decisões de sourcing que você toma hoje definirão sua competitividade em 2026.</t>
  </si>
  <si>
    <t>3/17/26</t>
  </si>
  <si>
    <t>Port-a-cath: Engenharia Nacional Atendendo a uma Demanda Crítica.</t>
  </si>
  <si>
    <t>Port-a-cath / dispositivos implantáveis</t>
  </si>
  <si>
    <t>3/19/26</t>
  </si>
  <si>
    <t>Onde a engenharia encontra a perfeição. Cada mícron inspecionado é um risco eliminado.</t>
  </si>
  <si>
    <t>3/20/26</t>
  </si>
  <si>
    <t>3/23/26</t>
  </si>
  <si>
    <t>Em um parafuso pedicular, frações de milímetro não são detalhe.</t>
  </si>
  <si>
    <t>4/1/26</t>
  </si>
  <si>
    <t>3/31/26</t>
  </si>
  <si>
    <t>Em dispositivos médicos, o maior gargalo de qualidade nem sempre está na usinagem. Muitas vezes, ele aparece quando a amostra chega e falta evidência dimensional suficiente para sustentar a decisão técnica.</t>
  </si>
  <si>
    <t>4/13/26</t>
  </si>
  <si>
    <t>Fixação de membranas: pinos ou parafusos?</t>
  </si>
  <si>
    <t>Trade-off de engenharia de produto</t>
  </si>
  <si>
    <t>4/14/26</t>
  </si>
  <si>
    <t>Retrabalho nem sempre aparece como desvio aberto. Muitas vezes ele nasce na validacao dimensional mal amarrada ao processo.</t>
  </si>
  <si>
    <t>Validação dimensional / metrologia</t>
  </si>
  <si>
    <t>4/16/26</t>
  </si>
  <si>
    <t>Na manufatura de dispositivos médicos, precisão não é evento de inspeção final.</t>
  </si>
  <si>
    <t>4/19/26</t>
  </si>
  <si>
    <t>Na manufatura médica, capacidade produtiva não é só ter máquinas.</t>
  </si>
  <si>
    <t>Capacidade / manufatura previsível</t>
  </si>
  <si>
    <t>Operações / capacidade</t>
  </si>
  <si>
    <t>4/23/26</t>
  </si>
  <si>
    <t>Em kits cirúrgicos OEM, cada novo fornecedor é mais um ponto de falha:</t>
  </si>
  <si>
    <t>Kits OEM integrados / redução de risco de fornecedor</t>
  </si>
  <si>
    <t>posts</t>
  </si>
  <si>
    <t>impressoes_min</t>
  </si>
  <si>
    <t>impressoes_max</t>
  </si>
  <si>
    <t>media_impressoes</t>
  </si>
  <si>
    <t>mediana_impressoes</t>
  </si>
  <si>
    <t>media_reacoes</t>
  </si>
  <si>
    <t>media_ctr_exportado_pct</t>
  </si>
  <si>
    <t>media_palavras_legenda</t>
  </si>
  <si>
    <t>share_carrossel_pct</t>
  </si>
  <si>
    <t>share_video_pct</t>
  </si>
  <si>
    <t>share_gancho_pergunta_pct</t>
  </si>
  <si>
    <t>principal_estagio_consciencia</t>
  </si>
  <si>
    <t>principal_grupo_tema</t>
  </si>
  <si>
    <t>exemplos_de_ganchos</t>
  </si>
  <si>
    <t>Na manufatura de dispositivos médicos, precisão não é evento de inspeção final. | Pureza não é um diferencial, é um requisito regulatório crítico. | "Tamanho único" funciona bem… até deixar de funcionar.</t>
  </si>
  <si>
    <t>A Física por Trás da Validação de Implantes: Por que 3D + CNC? | Port-a-cath: Engenharia Nacional Atendendo a uma Demanda Crítica. | Você pode ter o melhor design e o material mais nobre.</t>
  </si>
  <si>
    <t>Na manufatura médica, capacidade produtiva não é só ter máquinas. | Em dispositivos médicos, “parece certo” não é suficiente. | Em dispositivos médicos, o maior gargalo de qualidade nem sempre está na usinagem. Muitas vezes, ele aparece quando a amostra chega e falta evidência dimensional suficiente para sustentar a decisão técnica.</t>
  </si>
  <si>
    <t>valor</t>
  </si>
  <si>
    <t>share_cluster_alto</t>
  </si>
  <si>
    <t>share_resto</t>
  </si>
  <si>
    <t>diferenca</t>
  </si>
  <si>
    <t>posts_cluster_alto</t>
  </si>
  <si>
    <t>posts_resto</t>
  </si>
  <si>
    <t>média</t>
  </si>
  <si>
    <t>estágio_de_consciência</t>
  </si>
  <si>
    <t>semana_inicio</t>
  </si>
  <si>
    <t>impressoes_totais</t>
  </si>
  <si>
    <t>reacoes_totais</t>
  </si>
  <si>
    <t>n</t>
  </si>
  <si>
    <t>inclinacao_por_dia</t>
  </si>
  <si>
    <t>inclinacao_por_semana</t>
  </si>
  <si>
    <t>intercepto</t>
  </si>
  <si>
    <t>r2</t>
  </si>
  <si>
    <t>primeira_data</t>
  </si>
  <si>
    <t>ultima_data</t>
  </si>
  <si>
    <t>1/19/26</t>
  </si>
  <si>
    <t>2/2/26</t>
  </si>
  <si>
    <t>2/9/26</t>
  </si>
  <si>
    <t>2/16/26</t>
  </si>
  <si>
    <t>3/2/26</t>
  </si>
  <si>
    <t>3/30/26</t>
  </si>
  <si>
    <t>4/20/26</t>
  </si>
  <si>
    <t>qtd_preditores</t>
  </si>
  <si>
    <t>r2_in_sample</t>
  </si>
  <si>
    <t>r2_ajustado</t>
  </si>
  <si>
    <t>erro_rmse_loocv</t>
  </si>
  <si>
    <t>reações_com_exposição_impressões</t>
  </si>
  <si>
    <t>beta_abs</t>
  </si>
  <si>
    <t>coeficiente_bruto</t>
  </si>
  <si>
    <t>consciência_produto</t>
  </si>
  <si>
    <t>grupo</t>
  </si>
  <si>
    <t>valor_alvo_min</t>
  </si>
  <si>
    <t>valor_alvo_max</t>
  </si>
  <si>
    <t>media_valor_alvo</t>
  </si>
  <si>
    <t>formato_dominante</t>
  </si>
  <si>
    <t>tipo_gancho_dominante</t>
  </si>
  <si>
    <t>consciencia_dominante</t>
  </si>
  <si>
    <t>grupo_tema_dominante</t>
  </si>
  <si>
    <t>media_caracteres_gancho</t>
  </si>
  <si>
    <t>Impressões</t>
  </si>
  <si>
    <t>Top 10%</t>
  </si>
  <si>
    <t>Piores 10%</t>
  </si>
  <si>
    <t>Em kits cirúrgicos OEM, cada novo fornecedor é mais um ponto de falha: | No seu P&amp;L, sustentabilidade é custo extra ou vantagem competitiva? | ANVISA, FDA, ISO 13485, dossiês, validação, rastreabilidade.</t>
  </si>
  <si>
    <t>Reações</t>
  </si>
  <si>
    <t>ANVISA, FDA, ISO 13485, dossiês, validação, rastreabilidade. | No seu P&amp;L, sustentabilidade é custo extra ou vantagem competitiva? | Na maioria das fábricas, qualidade é um departamento.</t>
  </si>
  <si>
    <t>Posts que compõem cada grupo</t>
  </si>
  <si>
    <t>rank_no_grupo</t>
  </si>
  <si>
    <t>valor_do_alvo</t>
  </si>
  <si>
    <t>motivo_exclusao</t>
  </si>
  <si>
    <t>11/25/25</t>
  </si>
  <si>
    <t>Rafael Bianchini Rafael Bianchini</t>
  </si>
  <si>
    <t>Talentos / recrutamento</t>
  </si>
  <si>
    <t>Post de lançamento/recrutamento fora do padrão editorial usado no modelo.</t>
  </si>
  <si>
    <t>1/8/26</t>
  </si>
  <si>
    <t>Nosso site está no ar https://lnkd.in/dVeHqN6m</t>
  </si>
  <si>
    <t>Institucional / lançamento do site</t>
  </si>
  <si>
    <t>VAGA DE EMPREGO NA LIFETREK MEDICAL</t>
  </si>
  <si>
    <t>nota</t>
  </si>
  <si>
    <t>detalhe</t>
  </si>
  <si>
    <t>Outliers removidos</t>
  </si>
  <si>
    <t>Foram removidos dos modelos: repost/vaga de 2025-11-26, anúncio do site de 2026-01-09 e VAGA DE EMPREGO de 2026-01-09.</t>
  </si>
  <si>
    <t>Amostra</t>
  </si>
  <si>
    <t>O modelo usa 28 posts com impressões e reações atuais. Dois posts técnicos sem impressões atuais ficam no dataset limpo, mas fora da regressão.</t>
  </si>
  <si>
    <t>Interpretação</t>
  </si>
  <si>
    <t>Regressão com amostra pequena é direcional. Use como mapa de hipóteses para próximos testes, não como prova causal.</t>
  </si>
  <si>
    <t>Preditores</t>
  </si>
  <si>
    <t>A regressão principal usa variáveis pré-postagem: tempo, formato, tipo/tamanho de gancho, tamanho da legenda, estágio de consciência e grupos de tema.</t>
  </si>
  <si>
    <t>CTR/cliques</t>
  </si>
  <si>
    <t>Cliques e CTR ficam no dataset para inspeção, mas não entram como preditores principais porque são resultados posteriores à postagem.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</si>
</sst>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C3F"/>
      </patternFill>
    </fill>
    <fill>
      <patternFill patternType="solid">
        <fgColor rgb="FFE7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0" borderId="0" xfId="0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Crescimento semanal de impressões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posts</c:v>
          </c:tx>
          <c:cat>
            <c:strRef>
              <c:f>Crescimento!$A$2:$A$14</c:f>
              <c:strCache>
                <c:ptCount val="13"/>
                <c:pt idx="0">
                  <c:v>1/19/26</c:v>
                </c:pt>
                <c:pt idx="1">
                  <c:v>1/26/26</c:v>
                </c:pt>
                <c:pt idx="2">
                  <c:v>2/2/26</c:v>
                </c:pt>
                <c:pt idx="3">
                  <c:v>2/9/26</c:v>
                </c:pt>
                <c:pt idx="4">
                  <c:v>2/16/26</c:v>
                </c:pt>
                <c:pt idx="5">
                  <c:v>2/23/26</c:v>
                </c:pt>
                <c:pt idx="6">
                  <c:v>3/2/26</c:v>
                </c:pt>
                <c:pt idx="7">
                  <c:v>3/9/26</c:v>
                </c:pt>
                <c:pt idx="8">
                  <c:v>3/16/26</c:v>
                </c:pt>
                <c:pt idx="9">
                  <c:v>3/23/26</c:v>
                </c:pt>
                <c:pt idx="10">
                  <c:v>3/30/26</c:v>
                </c:pt>
                <c:pt idx="11">
                  <c:v>4/13/26</c:v>
                </c:pt>
                <c:pt idx="12">
                  <c:v>4/20/26</c:v>
                </c:pt>
              </c:strCache>
            </c:strRef>
          </c:cat>
          <c:val>
            <c:numRef>
              <c:f>Crescimento!$B$2:$B$14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B-0242-AF03-2798509FA894}"/>
            </c:ext>
          </c:extLst>
        </c:ser>
        <c:ser>
          <c:idx val="1"/>
          <c:order val="1"/>
          <c:tx>
            <c:v>impressoes_totais</c:v>
          </c:tx>
          <c:cat>
            <c:strRef>
              <c:f>Crescimento!$A$2:$A$14</c:f>
              <c:strCache>
                <c:ptCount val="13"/>
                <c:pt idx="0">
                  <c:v>1/19/26</c:v>
                </c:pt>
                <c:pt idx="1">
                  <c:v>1/26/26</c:v>
                </c:pt>
                <c:pt idx="2">
                  <c:v>2/2/26</c:v>
                </c:pt>
                <c:pt idx="3">
                  <c:v>2/9/26</c:v>
                </c:pt>
                <c:pt idx="4">
                  <c:v>2/16/26</c:v>
                </c:pt>
                <c:pt idx="5">
                  <c:v>2/23/26</c:v>
                </c:pt>
                <c:pt idx="6">
                  <c:v>3/2/26</c:v>
                </c:pt>
                <c:pt idx="7">
                  <c:v>3/9/26</c:v>
                </c:pt>
                <c:pt idx="8">
                  <c:v>3/16/26</c:v>
                </c:pt>
                <c:pt idx="9">
                  <c:v>3/23/26</c:v>
                </c:pt>
                <c:pt idx="10">
                  <c:v>3/30/26</c:v>
                </c:pt>
                <c:pt idx="11">
                  <c:v>4/13/26</c:v>
                </c:pt>
                <c:pt idx="12">
                  <c:v>4/20/26</c:v>
                </c:pt>
              </c:strCache>
            </c:strRef>
          </c:cat>
          <c:val>
            <c:numRef>
              <c:f>Crescimento!$C$2:$C$14</c:f>
              <c:numCache>
                <c:formatCode>General</c:formatCode>
                <c:ptCount val="13"/>
                <c:pt idx="0">
                  <c:v>737</c:v>
                </c:pt>
                <c:pt idx="1">
                  <c:v>673</c:v>
                </c:pt>
                <c:pt idx="2">
                  <c:v>339</c:v>
                </c:pt>
                <c:pt idx="3">
                  <c:v>1023</c:v>
                </c:pt>
                <c:pt idx="4">
                  <c:v>204</c:v>
                </c:pt>
                <c:pt idx="5">
                  <c:v>643</c:v>
                </c:pt>
                <c:pt idx="6">
                  <c:v>378</c:v>
                </c:pt>
                <c:pt idx="7">
                  <c:v>766</c:v>
                </c:pt>
                <c:pt idx="8">
                  <c:v>710</c:v>
                </c:pt>
                <c:pt idx="9">
                  <c:v>246</c:v>
                </c:pt>
                <c:pt idx="10">
                  <c:v>598</c:v>
                </c:pt>
                <c:pt idx="11">
                  <c:v>1449</c:v>
                </c:pt>
                <c:pt idx="1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B-0242-AF03-2798509FA894}"/>
            </c:ext>
          </c:extLst>
        </c:ser>
        <c:ser>
          <c:idx val="2"/>
          <c:order val="2"/>
          <c:tx>
            <c:v>media_impressoes</c:v>
          </c:tx>
          <c:cat>
            <c:strRef>
              <c:f>Crescimento!$A$2:$A$14</c:f>
              <c:strCache>
                <c:ptCount val="13"/>
                <c:pt idx="0">
                  <c:v>1/19/26</c:v>
                </c:pt>
                <c:pt idx="1">
                  <c:v>1/26/26</c:v>
                </c:pt>
                <c:pt idx="2">
                  <c:v>2/2/26</c:v>
                </c:pt>
                <c:pt idx="3">
                  <c:v>2/9/26</c:v>
                </c:pt>
                <c:pt idx="4">
                  <c:v>2/16/26</c:v>
                </c:pt>
                <c:pt idx="5">
                  <c:v>2/23/26</c:v>
                </c:pt>
                <c:pt idx="6">
                  <c:v>3/2/26</c:v>
                </c:pt>
                <c:pt idx="7">
                  <c:v>3/9/26</c:v>
                </c:pt>
                <c:pt idx="8">
                  <c:v>3/16/26</c:v>
                </c:pt>
                <c:pt idx="9">
                  <c:v>3/23/26</c:v>
                </c:pt>
                <c:pt idx="10">
                  <c:v>3/30/26</c:v>
                </c:pt>
                <c:pt idx="11">
                  <c:v>4/13/26</c:v>
                </c:pt>
                <c:pt idx="12">
                  <c:v>4/20/26</c:v>
                </c:pt>
              </c:strCache>
            </c:strRef>
          </c:cat>
          <c:val>
            <c:numRef>
              <c:f>Crescimento!$D$2:$D$14</c:f>
              <c:numCache>
                <c:formatCode>General</c:formatCode>
                <c:ptCount val="13"/>
                <c:pt idx="0">
                  <c:v>245.7</c:v>
                </c:pt>
                <c:pt idx="1">
                  <c:v>336.5</c:v>
                </c:pt>
                <c:pt idx="2">
                  <c:v>339</c:v>
                </c:pt>
                <c:pt idx="3">
                  <c:v>341</c:v>
                </c:pt>
                <c:pt idx="4">
                  <c:v>204</c:v>
                </c:pt>
                <c:pt idx="5">
                  <c:v>160.80000000000001</c:v>
                </c:pt>
                <c:pt idx="6">
                  <c:v>189</c:v>
                </c:pt>
                <c:pt idx="7">
                  <c:v>383</c:v>
                </c:pt>
                <c:pt idx="8">
                  <c:v>236.7</c:v>
                </c:pt>
                <c:pt idx="9">
                  <c:v>246</c:v>
                </c:pt>
                <c:pt idx="10">
                  <c:v>598</c:v>
                </c:pt>
                <c:pt idx="11">
                  <c:v>362.3</c:v>
                </c:pt>
                <c:pt idx="1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B-0242-AF03-2798509FA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Crescimento semanal de reações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reacoes_totais</c:v>
          </c:tx>
          <c:cat>
            <c:strRef>
              <c:f>Crescimento!$R$2:$R$14</c:f>
              <c:strCache>
                <c:ptCount val="13"/>
                <c:pt idx="0">
                  <c:v>1/19/26</c:v>
                </c:pt>
                <c:pt idx="1">
                  <c:v>1/26/26</c:v>
                </c:pt>
                <c:pt idx="2">
                  <c:v>2/2/26</c:v>
                </c:pt>
                <c:pt idx="3">
                  <c:v>2/9/26</c:v>
                </c:pt>
                <c:pt idx="4">
                  <c:v>2/16/26</c:v>
                </c:pt>
                <c:pt idx="5">
                  <c:v>2/23/26</c:v>
                </c:pt>
                <c:pt idx="6">
                  <c:v>3/2/26</c:v>
                </c:pt>
                <c:pt idx="7">
                  <c:v>3/9/26</c:v>
                </c:pt>
                <c:pt idx="8">
                  <c:v>3/16/26</c:v>
                </c:pt>
                <c:pt idx="9">
                  <c:v>3/23/26</c:v>
                </c:pt>
                <c:pt idx="10">
                  <c:v>3/30/26</c:v>
                </c:pt>
                <c:pt idx="11">
                  <c:v>4/13/26</c:v>
                </c:pt>
                <c:pt idx="12">
                  <c:v>4/20/26</c:v>
                </c:pt>
              </c:strCache>
            </c:strRef>
          </c:cat>
          <c:val>
            <c:numRef>
              <c:f>Crescimento!$S$2:$S$14</c:f>
              <c:numCache>
                <c:formatCode>General</c:formatCode>
                <c:ptCount val="13"/>
                <c:pt idx="0">
                  <c:v>21</c:v>
                </c:pt>
                <c:pt idx="1">
                  <c:v>17</c:v>
                </c:pt>
                <c:pt idx="2">
                  <c:v>9</c:v>
                </c:pt>
                <c:pt idx="3">
                  <c:v>35</c:v>
                </c:pt>
                <c:pt idx="4">
                  <c:v>7</c:v>
                </c:pt>
                <c:pt idx="5">
                  <c:v>22</c:v>
                </c:pt>
                <c:pt idx="6">
                  <c:v>12</c:v>
                </c:pt>
                <c:pt idx="7">
                  <c:v>24</c:v>
                </c:pt>
                <c:pt idx="8">
                  <c:v>19</c:v>
                </c:pt>
                <c:pt idx="9">
                  <c:v>10</c:v>
                </c:pt>
                <c:pt idx="10">
                  <c:v>22</c:v>
                </c:pt>
                <c:pt idx="11">
                  <c:v>55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9-B94B-972E-611F43883E80}"/>
            </c:ext>
          </c:extLst>
        </c:ser>
        <c:ser>
          <c:idx val="1"/>
          <c:order val="1"/>
          <c:tx>
            <c:v>media_reacoes</c:v>
          </c:tx>
          <c:cat>
            <c:strRef>
              <c:f>Crescimento!$R$2:$R$14</c:f>
              <c:strCache>
                <c:ptCount val="13"/>
                <c:pt idx="0">
                  <c:v>1/19/26</c:v>
                </c:pt>
                <c:pt idx="1">
                  <c:v>1/26/26</c:v>
                </c:pt>
                <c:pt idx="2">
                  <c:v>2/2/26</c:v>
                </c:pt>
                <c:pt idx="3">
                  <c:v>2/9/26</c:v>
                </c:pt>
                <c:pt idx="4">
                  <c:v>2/16/26</c:v>
                </c:pt>
                <c:pt idx="5">
                  <c:v>2/23/26</c:v>
                </c:pt>
                <c:pt idx="6">
                  <c:v>3/2/26</c:v>
                </c:pt>
                <c:pt idx="7">
                  <c:v>3/9/26</c:v>
                </c:pt>
                <c:pt idx="8">
                  <c:v>3/16/26</c:v>
                </c:pt>
                <c:pt idx="9">
                  <c:v>3/23/26</c:v>
                </c:pt>
                <c:pt idx="10">
                  <c:v>3/30/26</c:v>
                </c:pt>
                <c:pt idx="11">
                  <c:v>4/13/26</c:v>
                </c:pt>
                <c:pt idx="12">
                  <c:v>4/20/26</c:v>
                </c:pt>
              </c:strCache>
            </c:strRef>
          </c:cat>
          <c:val>
            <c:numRef>
              <c:f>Crescimento!$T$2:$T$14</c:f>
              <c:numCache>
                <c:formatCode>General</c:formatCode>
                <c:ptCount val="13"/>
                <c:pt idx="0">
                  <c:v>7</c:v>
                </c:pt>
                <c:pt idx="1">
                  <c:v>8.5</c:v>
                </c:pt>
                <c:pt idx="2">
                  <c:v>9</c:v>
                </c:pt>
                <c:pt idx="3">
                  <c:v>11.7</c:v>
                </c:pt>
                <c:pt idx="4">
                  <c:v>7</c:v>
                </c:pt>
                <c:pt idx="5">
                  <c:v>5.5</c:v>
                </c:pt>
                <c:pt idx="6">
                  <c:v>6</c:v>
                </c:pt>
                <c:pt idx="7">
                  <c:v>12</c:v>
                </c:pt>
                <c:pt idx="8">
                  <c:v>6.3</c:v>
                </c:pt>
                <c:pt idx="9">
                  <c:v>10</c:v>
                </c:pt>
                <c:pt idx="10">
                  <c:v>22</c:v>
                </c:pt>
                <c:pt idx="11">
                  <c:v>13.8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9-B94B-972E-611F43883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workbookViewId="0">
      <selection activeCell="A27" sqref="A27:B32"/>
    </sheetView>
  </sheetViews>
  <sheetFormatPr baseColWidth="10" defaultColWidth="8.83203125" defaultRowHeight="15"/>
  <cols>
    <col min="1" max="1" width="32.5" customWidth="1"/>
    <col min="2" max="2" width="113.5" customWidth="1"/>
    <col min="4" max="4" width="30.6640625" customWidth="1"/>
    <col min="5" max="5" width="11.6640625" customWidth="1"/>
    <col min="6" max="6" width="35" customWidth="1"/>
    <col min="7" max="7" width="16" customWidth="1"/>
    <col min="8" max="8" width="11.6640625" customWidth="1"/>
  </cols>
  <sheetData>
    <row r="1" spans="1:8" ht="21">
      <c r="A1" s="2" t="s">
        <v>0</v>
      </c>
      <c r="B1" s="2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D3" s="5" t="s">
        <v>2</v>
      </c>
      <c r="E3" s="5"/>
      <c r="F3" s="5"/>
      <c r="G3" s="5"/>
      <c r="H3" s="5"/>
    </row>
    <row r="4" spans="1:8" ht="32">
      <c r="A4" s="1" t="s">
        <v>3</v>
      </c>
      <c r="B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30</v>
      </c>
      <c r="D5" t="s">
        <v>11</v>
      </c>
      <c r="E5" t="s">
        <v>12</v>
      </c>
      <c r="F5" t="s">
        <v>13</v>
      </c>
      <c r="G5">
        <v>0.70099999999999996</v>
      </c>
      <c r="H5" t="s">
        <v>14</v>
      </c>
    </row>
    <row r="6" spans="1:8">
      <c r="A6" t="s">
        <v>15</v>
      </c>
      <c r="B6">
        <v>28</v>
      </c>
      <c r="D6" t="s">
        <v>11</v>
      </c>
      <c r="E6" t="s">
        <v>12</v>
      </c>
      <c r="F6" t="s">
        <v>16</v>
      </c>
      <c r="G6">
        <v>-0.68600000000000005</v>
      </c>
      <c r="H6" t="s">
        <v>17</v>
      </c>
    </row>
    <row r="7" spans="1:8">
      <c r="A7" t="s">
        <v>18</v>
      </c>
      <c r="B7" t="s">
        <v>19</v>
      </c>
      <c r="D7" t="s">
        <v>11</v>
      </c>
      <c r="E7" t="s">
        <v>12</v>
      </c>
      <c r="F7" t="s">
        <v>20</v>
      </c>
      <c r="G7">
        <v>0.48899999999999999</v>
      </c>
      <c r="H7" t="s">
        <v>14</v>
      </c>
    </row>
    <row r="8" spans="1:8">
      <c r="A8" t="s">
        <v>21</v>
      </c>
      <c r="B8" t="s">
        <v>22</v>
      </c>
      <c r="D8" t="s">
        <v>11</v>
      </c>
      <c r="E8" t="s">
        <v>12</v>
      </c>
      <c r="F8" t="s">
        <v>23</v>
      </c>
      <c r="G8">
        <v>-0.38</v>
      </c>
      <c r="H8" t="s">
        <v>17</v>
      </c>
    </row>
    <row r="9" spans="1:8">
      <c r="A9" t="s">
        <v>24</v>
      </c>
      <c r="B9" t="s">
        <v>25</v>
      </c>
      <c r="D9" t="s">
        <v>11</v>
      </c>
      <c r="E9" t="s">
        <v>12</v>
      </c>
      <c r="F9" t="s">
        <v>26</v>
      </c>
      <c r="G9">
        <v>-0.20499999999999999</v>
      </c>
      <c r="H9" t="s">
        <v>17</v>
      </c>
    </row>
    <row r="10" spans="1:8">
      <c r="A10" t="s">
        <v>27</v>
      </c>
      <c r="B10" t="s">
        <v>28</v>
      </c>
      <c r="D10" t="s">
        <v>11</v>
      </c>
      <c r="E10" t="s">
        <v>12</v>
      </c>
      <c r="F10" t="s">
        <v>29</v>
      </c>
      <c r="G10">
        <v>0.17100000000000001</v>
      </c>
      <c r="H10" t="s">
        <v>14</v>
      </c>
    </row>
    <row r="11" spans="1:8">
      <c r="A11" t="s">
        <v>30</v>
      </c>
      <c r="B11" t="s">
        <v>31</v>
      </c>
      <c r="D11" t="s">
        <v>11</v>
      </c>
      <c r="E11" t="s">
        <v>12</v>
      </c>
      <c r="F11" t="s">
        <v>32</v>
      </c>
      <c r="G11">
        <v>0.16700000000000001</v>
      </c>
      <c r="H11" t="s">
        <v>14</v>
      </c>
    </row>
    <row r="12" spans="1:8">
      <c r="A12" t="s">
        <v>33</v>
      </c>
      <c r="B12" t="s">
        <v>34</v>
      </c>
      <c r="D12" t="s">
        <v>11</v>
      </c>
      <c r="E12" t="s">
        <v>12</v>
      </c>
      <c r="F12" t="s">
        <v>35</v>
      </c>
      <c r="G12">
        <v>5.1999999999999998E-2</v>
      </c>
      <c r="H12" t="s">
        <v>14</v>
      </c>
    </row>
    <row r="13" spans="1:8">
      <c r="A13" t="s">
        <v>36</v>
      </c>
      <c r="B13" t="s">
        <v>37</v>
      </c>
    </row>
    <row r="14" spans="1:8">
      <c r="A14" t="s">
        <v>38</v>
      </c>
      <c r="B14" t="s">
        <v>39</v>
      </c>
    </row>
    <row r="15" spans="1:8">
      <c r="A15" t="s">
        <v>40</v>
      </c>
      <c r="B15" t="s">
        <v>41</v>
      </c>
      <c r="D15" s="5" t="s">
        <v>42</v>
      </c>
      <c r="E15" s="5"/>
      <c r="F15" s="5"/>
      <c r="G15" s="5"/>
      <c r="H15" s="5"/>
    </row>
    <row r="16" spans="1:8" ht="32"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</row>
    <row r="17" spans="1:8">
      <c r="D17" t="s">
        <v>43</v>
      </c>
      <c r="E17" t="s">
        <v>44</v>
      </c>
      <c r="F17" t="s">
        <v>13</v>
      </c>
      <c r="G17">
        <v>0.79</v>
      </c>
      <c r="H17" t="s">
        <v>14</v>
      </c>
    </row>
    <row r="18" spans="1:8">
      <c r="D18" t="s">
        <v>43</v>
      </c>
      <c r="E18" t="s">
        <v>44</v>
      </c>
      <c r="F18" t="s">
        <v>16</v>
      </c>
      <c r="G18">
        <v>-0.47899999999999998</v>
      </c>
      <c r="H18" t="s">
        <v>17</v>
      </c>
    </row>
    <row r="19" spans="1:8">
      <c r="D19" t="s">
        <v>43</v>
      </c>
      <c r="E19" t="s">
        <v>44</v>
      </c>
      <c r="F19" t="s">
        <v>20</v>
      </c>
      <c r="G19">
        <v>0.433</v>
      </c>
      <c r="H19" t="s">
        <v>14</v>
      </c>
    </row>
    <row r="20" spans="1:8">
      <c r="D20" t="s">
        <v>43</v>
      </c>
      <c r="E20" t="s">
        <v>44</v>
      </c>
      <c r="F20" t="s">
        <v>23</v>
      </c>
      <c r="G20">
        <v>-0.29299999999999998</v>
      </c>
      <c r="H20" t="s">
        <v>17</v>
      </c>
    </row>
    <row r="21" spans="1:8">
      <c r="D21" t="s">
        <v>43</v>
      </c>
      <c r="E21" t="s">
        <v>44</v>
      </c>
      <c r="F21" t="s">
        <v>32</v>
      </c>
      <c r="G21">
        <v>0.22800000000000001</v>
      </c>
      <c r="H21" t="s">
        <v>14</v>
      </c>
    </row>
    <row r="22" spans="1:8">
      <c r="D22" t="s">
        <v>43</v>
      </c>
      <c r="E22" t="s">
        <v>44</v>
      </c>
      <c r="F22" t="s">
        <v>29</v>
      </c>
      <c r="G22">
        <v>0.19500000000000001</v>
      </c>
      <c r="H22" t="s">
        <v>14</v>
      </c>
    </row>
    <row r="23" spans="1:8">
      <c r="D23" t="s">
        <v>43</v>
      </c>
      <c r="E23" t="s">
        <v>44</v>
      </c>
      <c r="F23" t="s">
        <v>26</v>
      </c>
      <c r="G23">
        <v>-0.13800000000000001</v>
      </c>
      <c r="H23" t="s">
        <v>17</v>
      </c>
    </row>
    <row r="24" spans="1:8">
      <c r="D24" t="s">
        <v>43</v>
      </c>
      <c r="E24" t="s">
        <v>44</v>
      </c>
      <c r="F24" t="s">
        <v>45</v>
      </c>
      <c r="G24">
        <v>-7.4999999999999997E-2</v>
      </c>
      <c r="H24" t="s">
        <v>17</v>
      </c>
    </row>
    <row r="27" spans="1:8" ht="16">
      <c r="A27" s="1" t="s">
        <v>46</v>
      </c>
      <c r="B27" s="1" t="s">
        <v>47</v>
      </c>
    </row>
    <row r="28" spans="1:8">
      <c r="A28">
        <v>1</v>
      </c>
      <c r="B28" t="s">
        <v>48</v>
      </c>
    </row>
    <row r="29" spans="1:8">
      <c r="A29">
        <v>2</v>
      </c>
      <c r="B29" t="s">
        <v>49</v>
      </c>
    </row>
    <row r="30" spans="1:8">
      <c r="A30">
        <v>3</v>
      </c>
      <c r="B30" t="s">
        <v>50</v>
      </c>
    </row>
    <row r="31" spans="1:8">
      <c r="A31">
        <v>4</v>
      </c>
      <c r="B31" t="s">
        <v>51</v>
      </c>
    </row>
    <row r="32" spans="1:8">
      <c r="A32">
        <v>5</v>
      </c>
      <c r="B32" t="s">
        <v>52</v>
      </c>
    </row>
  </sheetData>
  <mergeCells count="4">
    <mergeCell ref="A1:H1"/>
    <mergeCell ref="A2:H2"/>
    <mergeCell ref="D3:H3"/>
    <mergeCell ref="D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1"/>
  <sheetViews>
    <sheetView showGridLines="0" workbookViewId="0"/>
  </sheetViews>
  <sheetFormatPr baseColWidth="10" defaultColWidth="8.83203125" defaultRowHeight="15"/>
  <cols>
    <col min="1" max="2" width="11" customWidth="1"/>
    <col min="3" max="3" width="9.1640625" customWidth="1"/>
    <col min="4" max="4" width="12.83203125" customWidth="1"/>
    <col min="5" max="5" width="51" customWidth="1"/>
    <col min="6" max="6" width="14.1640625" customWidth="1"/>
    <col min="7" max="7" width="19.6640625" customWidth="1"/>
    <col min="8" max="8" width="26.33203125" customWidth="1"/>
    <col min="9" max="9" width="19" customWidth="1"/>
    <col min="10" max="10" width="16.5" customWidth="1"/>
    <col min="11" max="11" width="10.5" customWidth="1"/>
    <col min="12" max="12" width="9.1640625" customWidth="1"/>
    <col min="13" max="14" width="11" customWidth="1"/>
    <col min="15" max="15" width="8.6640625" customWidth="1"/>
    <col min="16" max="16" width="12.33203125" customWidth="1"/>
    <col min="17" max="17" width="13.5" customWidth="1"/>
    <col min="18" max="20" width="12.33203125" customWidth="1"/>
    <col min="21" max="21" width="9.1640625" customWidth="1"/>
    <col min="22" max="22" width="8" customWidth="1"/>
    <col min="23" max="23" width="12.83203125" customWidth="1"/>
  </cols>
  <sheetData>
    <row r="1" spans="1:23" ht="32">
      <c r="A1" s="1" t="s">
        <v>53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</row>
    <row r="2" spans="1:23">
      <c r="A2" t="s">
        <v>75</v>
      </c>
      <c r="B2">
        <v>0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>
        <v>294</v>
      </c>
      <c r="L2">
        <v>6</v>
      </c>
      <c r="M2">
        <v>8</v>
      </c>
      <c r="N2">
        <v>2.8469751000000003</v>
      </c>
      <c r="O2">
        <v>0</v>
      </c>
      <c r="Q2">
        <v>281</v>
      </c>
      <c r="R2">
        <v>6</v>
      </c>
      <c r="S2">
        <v>178</v>
      </c>
      <c r="T2">
        <v>34</v>
      </c>
      <c r="U2">
        <v>0</v>
      </c>
      <c r="V2">
        <v>0</v>
      </c>
      <c r="W2">
        <v>0</v>
      </c>
    </row>
    <row r="3" spans="1:23">
      <c r="A3" t="s">
        <v>84</v>
      </c>
      <c r="B3">
        <v>1</v>
      </c>
      <c r="C3" t="s">
        <v>76</v>
      </c>
      <c r="D3" t="s">
        <v>85</v>
      </c>
      <c r="E3" t="s">
        <v>86</v>
      </c>
      <c r="F3" t="s">
        <v>79</v>
      </c>
      <c r="G3" t="s">
        <v>80</v>
      </c>
      <c r="H3" t="s">
        <v>87</v>
      </c>
      <c r="I3" t="s">
        <v>88</v>
      </c>
      <c r="J3" t="s">
        <v>83</v>
      </c>
      <c r="K3">
        <v>242</v>
      </c>
      <c r="L3">
        <v>9</v>
      </c>
      <c r="M3">
        <v>59</v>
      </c>
      <c r="N3">
        <v>26.58</v>
      </c>
      <c r="O3">
        <v>0</v>
      </c>
      <c r="Q3">
        <v>222</v>
      </c>
      <c r="R3">
        <v>9</v>
      </c>
      <c r="S3">
        <v>172</v>
      </c>
      <c r="T3">
        <v>96</v>
      </c>
      <c r="U3">
        <v>1</v>
      </c>
      <c r="V3">
        <v>0</v>
      </c>
      <c r="W3">
        <v>0</v>
      </c>
    </row>
    <row r="4" spans="1:23">
      <c r="A4" t="s">
        <v>89</v>
      </c>
      <c r="B4">
        <v>2</v>
      </c>
      <c r="C4" t="s">
        <v>76</v>
      </c>
      <c r="D4" t="s">
        <v>77</v>
      </c>
      <c r="E4" t="s">
        <v>90</v>
      </c>
      <c r="F4" t="s">
        <v>79</v>
      </c>
      <c r="G4" t="s">
        <v>91</v>
      </c>
      <c r="H4" t="s">
        <v>92</v>
      </c>
      <c r="I4" t="s">
        <v>93</v>
      </c>
      <c r="J4" t="s">
        <v>94</v>
      </c>
      <c r="K4">
        <v>201</v>
      </c>
      <c r="L4">
        <v>6</v>
      </c>
      <c r="M4">
        <v>18</v>
      </c>
      <c r="N4">
        <v>9.6256681000000004</v>
      </c>
      <c r="O4">
        <v>0</v>
      </c>
      <c r="Q4">
        <v>187</v>
      </c>
      <c r="R4">
        <v>6</v>
      </c>
      <c r="S4">
        <v>303</v>
      </c>
      <c r="T4">
        <v>34</v>
      </c>
      <c r="U4">
        <v>0</v>
      </c>
      <c r="V4">
        <v>0</v>
      </c>
      <c r="W4">
        <v>0</v>
      </c>
    </row>
    <row r="5" spans="1:23">
      <c r="A5" t="s">
        <v>95</v>
      </c>
      <c r="B5">
        <v>6</v>
      </c>
      <c r="C5" t="s">
        <v>76</v>
      </c>
      <c r="D5" t="s">
        <v>77</v>
      </c>
      <c r="E5" t="s">
        <v>96</v>
      </c>
      <c r="F5" t="s">
        <v>97</v>
      </c>
      <c r="G5" t="s">
        <v>91</v>
      </c>
      <c r="H5" t="s">
        <v>98</v>
      </c>
      <c r="I5" t="s">
        <v>82</v>
      </c>
      <c r="J5" t="s">
        <v>83</v>
      </c>
      <c r="K5">
        <v>359</v>
      </c>
      <c r="L5">
        <v>10</v>
      </c>
      <c r="M5">
        <v>11</v>
      </c>
      <c r="N5">
        <v>3.1791906999999999</v>
      </c>
      <c r="O5">
        <v>0</v>
      </c>
      <c r="Q5">
        <v>346</v>
      </c>
      <c r="R5">
        <v>10</v>
      </c>
      <c r="S5">
        <v>283</v>
      </c>
      <c r="T5">
        <v>62</v>
      </c>
      <c r="U5">
        <v>0</v>
      </c>
      <c r="V5">
        <v>0</v>
      </c>
      <c r="W5">
        <v>1</v>
      </c>
    </row>
    <row r="6" spans="1:23">
      <c r="A6" t="s">
        <v>99</v>
      </c>
      <c r="B6">
        <v>7</v>
      </c>
      <c r="C6" t="s">
        <v>76</v>
      </c>
      <c r="D6" t="s">
        <v>77</v>
      </c>
      <c r="E6" t="s">
        <v>100</v>
      </c>
      <c r="F6" t="s">
        <v>79</v>
      </c>
      <c r="G6" t="s">
        <v>101</v>
      </c>
      <c r="H6" t="s">
        <v>98</v>
      </c>
      <c r="I6" t="s">
        <v>82</v>
      </c>
      <c r="J6" t="s">
        <v>83</v>
      </c>
      <c r="K6">
        <v>314</v>
      </c>
      <c r="L6">
        <v>7</v>
      </c>
      <c r="M6">
        <v>6</v>
      </c>
      <c r="N6">
        <v>2.0066888999999999</v>
      </c>
      <c r="O6">
        <v>0</v>
      </c>
      <c r="Q6">
        <v>299</v>
      </c>
      <c r="R6">
        <v>7</v>
      </c>
      <c r="S6">
        <v>147</v>
      </c>
      <c r="T6">
        <v>127</v>
      </c>
      <c r="U6">
        <v>0</v>
      </c>
      <c r="V6">
        <v>0</v>
      </c>
      <c r="W6">
        <v>0</v>
      </c>
    </row>
    <row r="7" spans="1:23">
      <c r="A7" t="s">
        <v>102</v>
      </c>
      <c r="B7">
        <v>15</v>
      </c>
      <c r="C7" t="s">
        <v>103</v>
      </c>
      <c r="D7" t="s">
        <v>85</v>
      </c>
      <c r="E7" t="s">
        <v>104</v>
      </c>
      <c r="F7" t="s">
        <v>79</v>
      </c>
      <c r="G7" t="s">
        <v>105</v>
      </c>
      <c r="H7" t="s">
        <v>106</v>
      </c>
      <c r="I7" t="s">
        <v>107</v>
      </c>
      <c r="J7" t="s">
        <v>83</v>
      </c>
      <c r="K7">
        <v>339</v>
      </c>
      <c r="L7">
        <v>9</v>
      </c>
      <c r="M7">
        <v>80</v>
      </c>
      <c r="N7">
        <v>25.8899689</v>
      </c>
      <c r="O7">
        <v>1</v>
      </c>
      <c r="Q7">
        <v>309</v>
      </c>
      <c r="R7">
        <v>9</v>
      </c>
      <c r="S7">
        <v>143</v>
      </c>
      <c r="T7">
        <v>54</v>
      </c>
      <c r="U7">
        <v>1</v>
      </c>
      <c r="V7">
        <v>0</v>
      </c>
      <c r="W7">
        <v>0</v>
      </c>
    </row>
    <row r="8" spans="1:23">
      <c r="A8" t="s">
        <v>108</v>
      </c>
      <c r="B8">
        <v>21</v>
      </c>
      <c r="C8" t="s">
        <v>103</v>
      </c>
      <c r="D8" t="s">
        <v>77</v>
      </c>
      <c r="E8" t="s">
        <v>109</v>
      </c>
      <c r="F8" t="s">
        <v>97</v>
      </c>
      <c r="G8" t="s">
        <v>91</v>
      </c>
      <c r="H8" t="s">
        <v>110</v>
      </c>
      <c r="I8" t="s">
        <v>111</v>
      </c>
      <c r="J8" t="s">
        <v>94</v>
      </c>
      <c r="K8">
        <v>121</v>
      </c>
      <c r="L8">
        <v>5</v>
      </c>
      <c r="M8">
        <v>3</v>
      </c>
      <c r="N8">
        <v>3.3707864999999995</v>
      </c>
      <c r="O8">
        <v>0</v>
      </c>
      <c r="Q8">
        <v>89</v>
      </c>
      <c r="R8">
        <v>5</v>
      </c>
      <c r="S8">
        <v>168</v>
      </c>
      <c r="T8">
        <v>67</v>
      </c>
      <c r="U8">
        <v>0</v>
      </c>
      <c r="V8">
        <v>0</v>
      </c>
      <c r="W8">
        <v>1</v>
      </c>
    </row>
    <row r="9" spans="1:23">
      <c r="A9" t="s">
        <v>108</v>
      </c>
      <c r="B9">
        <v>21</v>
      </c>
      <c r="C9" t="s">
        <v>103</v>
      </c>
      <c r="D9" t="s">
        <v>77</v>
      </c>
      <c r="E9" t="s">
        <v>112</v>
      </c>
      <c r="F9" t="s">
        <v>79</v>
      </c>
      <c r="G9" t="s">
        <v>101</v>
      </c>
      <c r="H9" t="s">
        <v>106</v>
      </c>
      <c r="I9" t="s">
        <v>107</v>
      </c>
      <c r="J9" t="s">
        <v>94</v>
      </c>
      <c r="K9">
        <v>221</v>
      </c>
      <c r="L9">
        <v>8</v>
      </c>
      <c r="M9">
        <v>7</v>
      </c>
      <c r="N9">
        <v>3.8043477000000001</v>
      </c>
      <c r="O9">
        <v>0</v>
      </c>
      <c r="Q9">
        <v>184</v>
      </c>
      <c r="R9">
        <v>8</v>
      </c>
      <c r="S9">
        <v>187</v>
      </c>
      <c r="T9">
        <v>64</v>
      </c>
      <c r="U9">
        <v>0</v>
      </c>
      <c r="V9">
        <v>0</v>
      </c>
      <c r="W9">
        <v>0</v>
      </c>
    </row>
    <row r="10" spans="1:23">
      <c r="A10" t="s">
        <v>113</v>
      </c>
      <c r="B10">
        <v>26</v>
      </c>
      <c r="C10" t="s">
        <v>103</v>
      </c>
      <c r="D10" t="s">
        <v>77</v>
      </c>
      <c r="E10" t="s">
        <v>114</v>
      </c>
      <c r="F10" t="s">
        <v>79</v>
      </c>
      <c r="G10" t="s">
        <v>80</v>
      </c>
      <c r="H10" t="s">
        <v>115</v>
      </c>
      <c r="I10" t="s">
        <v>116</v>
      </c>
      <c r="J10" t="s">
        <v>117</v>
      </c>
      <c r="K10">
        <v>681</v>
      </c>
      <c r="L10">
        <v>22</v>
      </c>
      <c r="M10">
        <v>5</v>
      </c>
      <c r="N10">
        <v>0.95</v>
      </c>
      <c r="O10">
        <v>2</v>
      </c>
      <c r="Q10">
        <v>525</v>
      </c>
      <c r="R10">
        <v>17</v>
      </c>
      <c r="S10">
        <v>147</v>
      </c>
      <c r="T10">
        <v>57</v>
      </c>
      <c r="U10">
        <v>0</v>
      </c>
      <c r="V10">
        <v>0</v>
      </c>
      <c r="W10">
        <v>0</v>
      </c>
    </row>
    <row r="11" spans="1:23">
      <c r="A11" t="s">
        <v>118</v>
      </c>
      <c r="B11">
        <v>29</v>
      </c>
      <c r="C11" t="s">
        <v>103</v>
      </c>
      <c r="D11" t="s">
        <v>85</v>
      </c>
      <c r="E11" t="s">
        <v>119</v>
      </c>
      <c r="F11" t="s">
        <v>79</v>
      </c>
      <c r="G11" t="s">
        <v>101</v>
      </c>
      <c r="H11" t="s">
        <v>87</v>
      </c>
      <c r="I11" t="s">
        <v>88</v>
      </c>
      <c r="J11" t="s">
        <v>94</v>
      </c>
      <c r="K11">
        <v>204</v>
      </c>
      <c r="L11">
        <v>7</v>
      </c>
      <c r="M11">
        <v>9</v>
      </c>
      <c r="N11">
        <v>7.14</v>
      </c>
      <c r="O11">
        <v>1</v>
      </c>
      <c r="Q11">
        <v>126</v>
      </c>
      <c r="R11">
        <v>4</v>
      </c>
      <c r="S11">
        <v>176</v>
      </c>
      <c r="T11">
        <v>54</v>
      </c>
      <c r="U11">
        <v>1</v>
      </c>
      <c r="V11">
        <v>0</v>
      </c>
      <c r="W11">
        <v>0</v>
      </c>
    </row>
    <row r="12" spans="1:23">
      <c r="A12" t="s">
        <v>120</v>
      </c>
      <c r="B12">
        <v>34</v>
      </c>
      <c r="C12" t="s">
        <v>103</v>
      </c>
      <c r="D12" t="s">
        <v>77</v>
      </c>
      <c r="E12" t="s">
        <v>121</v>
      </c>
      <c r="F12" t="s">
        <v>79</v>
      </c>
      <c r="G12" t="s">
        <v>80</v>
      </c>
      <c r="H12" t="s">
        <v>81</v>
      </c>
      <c r="I12" t="s">
        <v>82</v>
      </c>
      <c r="J12" t="s">
        <v>94</v>
      </c>
      <c r="K12">
        <v>135</v>
      </c>
      <c r="L12">
        <v>4</v>
      </c>
      <c r="M12">
        <v>5</v>
      </c>
      <c r="N12">
        <v>6.4935065999999999</v>
      </c>
      <c r="O12">
        <v>0</v>
      </c>
      <c r="Q12">
        <v>77</v>
      </c>
      <c r="R12">
        <v>3</v>
      </c>
      <c r="S12">
        <v>115</v>
      </c>
      <c r="T12">
        <v>60</v>
      </c>
      <c r="U12">
        <v>0</v>
      </c>
      <c r="V12">
        <v>0</v>
      </c>
      <c r="W12">
        <v>0</v>
      </c>
    </row>
    <row r="13" spans="1:23">
      <c r="A13" t="s">
        <v>122</v>
      </c>
      <c r="B13">
        <v>35</v>
      </c>
      <c r="C13" t="s">
        <v>103</v>
      </c>
      <c r="D13" t="s">
        <v>77</v>
      </c>
      <c r="E13" t="s">
        <v>123</v>
      </c>
      <c r="F13" t="s">
        <v>79</v>
      </c>
      <c r="G13" t="s">
        <v>105</v>
      </c>
      <c r="H13" t="s">
        <v>92</v>
      </c>
      <c r="I13" t="s">
        <v>93</v>
      </c>
      <c r="J13" t="s">
        <v>94</v>
      </c>
      <c r="K13">
        <v>154</v>
      </c>
      <c r="L13">
        <v>6</v>
      </c>
      <c r="M13">
        <v>5</v>
      </c>
      <c r="N13">
        <v>8.1967211999999989</v>
      </c>
      <c r="O13">
        <v>0</v>
      </c>
      <c r="Q13">
        <v>61</v>
      </c>
      <c r="R13">
        <v>2</v>
      </c>
      <c r="S13">
        <v>160</v>
      </c>
      <c r="T13">
        <v>136</v>
      </c>
      <c r="U13">
        <v>0</v>
      </c>
      <c r="V13">
        <v>0</v>
      </c>
      <c r="W13">
        <v>0</v>
      </c>
    </row>
    <row r="14" spans="1:23">
      <c r="A14" t="s">
        <v>124</v>
      </c>
      <c r="B14">
        <v>36</v>
      </c>
      <c r="C14" t="s">
        <v>103</v>
      </c>
      <c r="D14" t="s">
        <v>77</v>
      </c>
      <c r="E14" t="s">
        <v>125</v>
      </c>
      <c r="F14" t="s">
        <v>79</v>
      </c>
      <c r="G14" t="s">
        <v>105</v>
      </c>
      <c r="H14" t="s">
        <v>115</v>
      </c>
      <c r="I14" t="s">
        <v>116</v>
      </c>
      <c r="J14" t="s">
        <v>94</v>
      </c>
      <c r="K14">
        <v>178</v>
      </c>
      <c r="L14">
        <v>5</v>
      </c>
      <c r="M14">
        <v>2</v>
      </c>
      <c r="N14">
        <v>4.26</v>
      </c>
      <c r="O14">
        <v>0</v>
      </c>
      <c r="Q14">
        <v>47</v>
      </c>
      <c r="R14">
        <v>4</v>
      </c>
      <c r="S14">
        <v>180</v>
      </c>
      <c r="T14">
        <v>53</v>
      </c>
      <c r="U14">
        <v>0</v>
      </c>
      <c r="V14">
        <v>0</v>
      </c>
      <c r="W14">
        <v>0</v>
      </c>
    </row>
    <row r="15" spans="1:23">
      <c r="A15" t="s">
        <v>126</v>
      </c>
      <c r="B15">
        <v>37</v>
      </c>
      <c r="C15" t="s">
        <v>103</v>
      </c>
      <c r="D15" t="s">
        <v>77</v>
      </c>
      <c r="E15" t="s">
        <v>127</v>
      </c>
      <c r="F15" t="s">
        <v>79</v>
      </c>
      <c r="G15" t="s">
        <v>101</v>
      </c>
      <c r="H15" t="s">
        <v>128</v>
      </c>
      <c r="I15" t="s">
        <v>129</v>
      </c>
      <c r="J15" t="s">
        <v>94</v>
      </c>
      <c r="K15">
        <v>176</v>
      </c>
      <c r="L15">
        <v>7</v>
      </c>
      <c r="O15">
        <v>1</v>
      </c>
      <c r="S15">
        <v>129</v>
      </c>
      <c r="T15">
        <v>38</v>
      </c>
      <c r="U15">
        <v>0</v>
      </c>
      <c r="V15">
        <v>0</v>
      </c>
      <c r="W15">
        <v>0</v>
      </c>
    </row>
    <row r="16" spans="1:23">
      <c r="A16" t="s">
        <v>130</v>
      </c>
      <c r="B16">
        <v>42</v>
      </c>
      <c r="C16" t="s">
        <v>131</v>
      </c>
      <c r="D16" t="s">
        <v>77</v>
      </c>
      <c r="E16" t="s">
        <v>132</v>
      </c>
      <c r="F16" t="s">
        <v>79</v>
      </c>
      <c r="G16" t="s">
        <v>105</v>
      </c>
      <c r="H16" t="s">
        <v>98</v>
      </c>
      <c r="I16" t="s">
        <v>82</v>
      </c>
      <c r="J16" t="s">
        <v>94</v>
      </c>
      <c r="K16">
        <v>191</v>
      </c>
      <c r="L16">
        <v>7</v>
      </c>
      <c r="M16">
        <v>33</v>
      </c>
      <c r="N16">
        <v>18.333333700000001</v>
      </c>
      <c r="O16">
        <v>0</v>
      </c>
      <c r="Q16">
        <v>180</v>
      </c>
      <c r="R16">
        <v>7</v>
      </c>
      <c r="S16">
        <v>134</v>
      </c>
      <c r="T16">
        <v>77</v>
      </c>
      <c r="U16">
        <v>0</v>
      </c>
      <c r="V16">
        <v>0</v>
      </c>
      <c r="W16">
        <v>0</v>
      </c>
    </row>
    <row r="17" spans="1:23">
      <c r="A17" t="s">
        <v>133</v>
      </c>
      <c r="B17">
        <v>43</v>
      </c>
      <c r="C17" t="s">
        <v>131</v>
      </c>
      <c r="D17" t="s">
        <v>77</v>
      </c>
      <c r="E17" t="s">
        <v>134</v>
      </c>
      <c r="F17" t="s">
        <v>79</v>
      </c>
      <c r="G17" t="s">
        <v>80</v>
      </c>
      <c r="H17" t="s">
        <v>106</v>
      </c>
      <c r="I17" t="s">
        <v>107</v>
      </c>
      <c r="J17" t="s">
        <v>94</v>
      </c>
      <c r="K17">
        <v>187</v>
      </c>
      <c r="L17">
        <v>5</v>
      </c>
      <c r="M17">
        <v>15</v>
      </c>
      <c r="N17">
        <v>8.5227273000000014</v>
      </c>
      <c r="O17">
        <v>0</v>
      </c>
      <c r="Q17">
        <v>176</v>
      </c>
      <c r="R17">
        <v>5</v>
      </c>
      <c r="S17">
        <v>95</v>
      </c>
      <c r="T17">
        <v>78</v>
      </c>
      <c r="U17">
        <v>0</v>
      </c>
      <c r="V17">
        <v>0</v>
      </c>
      <c r="W17">
        <v>0</v>
      </c>
    </row>
    <row r="18" spans="1:23">
      <c r="A18" t="s">
        <v>135</v>
      </c>
      <c r="B18">
        <v>48</v>
      </c>
      <c r="C18" t="s">
        <v>131</v>
      </c>
      <c r="D18" t="s">
        <v>136</v>
      </c>
      <c r="E18" t="s">
        <v>137</v>
      </c>
      <c r="F18" t="s">
        <v>97</v>
      </c>
      <c r="G18" t="s">
        <v>91</v>
      </c>
      <c r="H18" t="s">
        <v>106</v>
      </c>
      <c r="I18" t="s">
        <v>107</v>
      </c>
      <c r="J18" t="s">
        <v>138</v>
      </c>
      <c r="L18">
        <v>11</v>
      </c>
      <c r="M18">
        <v>16</v>
      </c>
      <c r="N18">
        <v>5.9925093999999994</v>
      </c>
      <c r="O18">
        <v>1</v>
      </c>
      <c r="P18">
        <v>132</v>
      </c>
      <c r="Q18">
        <v>267</v>
      </c>
      <c r="R18">
        <v>10</v>
      </c>
      <c r="S18">
        <v>144</v>
      </c>
      <c r="T18">
        <v>132</v>
      </c>
      <c r="U18">
        <v>0</v>
      </c>
      <c r="V18">
        <v>1</v>
      </c>
      <c r="W18">
        <v>1</v>
      </c>
    </row>
    <row r="19" spans="1:23">
      <c r="A19" t="s">
        <v>139</v>
      </c>
      <c r="B19">
        <v>50</v>
      </c>
      <c r="C19" t="s">
        <v>131</v>
      </c>
      <c r="D19" t="s">
        <v>77</v>
      </c>
      <c r="E19" t="s">
        <v>140</v>
      </c>
      <c r="F19" t="s">
        <v>79</v>
      </c>
      <c r="G19" t="s">
        <v>105</v>
      </c>
      <c r="H19" t="s">
        <v>115</v>
      </c>
      <c r="I19" t="s">
        <v>116</v>
      </c>
      <c r="J19" t="s">
        <v>117</v>
      </c>
      <c r="K19">
        <v>498</v>
      </c>
      <c r="L19">
        <v>15</v>
      </c>
      <c r="M19">
        <v>18</v>
      </c>
      <c r="N19">
        <v>3.8297873</v>
      </c>
      <c r="O19">
        <v>0</v>
      </c>
      <c r="Q19">
        <v>470</v>
      </c>
      <c r="R19">
        <v>15</v>
      </c>
      <c r="S19">
        <v>94</v>
      </c>
      <c r="T19">
        <v>123</v>
      </c>
      <c r="U19">
        <v>0</v>
      </c>
      <c r="V19">
        <v>0</v>
      </c>
      <c r="W19">
        <v>0</v>
      </c>
    </row>
    <row r="20" spans="1:23">
      <c r="A20" t="s">
        <v>141</v>
      </c>
      <c r="B20">
        <v>51</v>
      </c>
      <c r="C20" t="s">
        <v>131</v>
      </c>
      <c r="D20" t="s">
        <v>77</v>
      </c>
      <c r="E20" t="s">
        <v>142</v>
      </c>
      <c r="F20" t="s">
        <v>79</v>
      </c>
      <c r="G20" t="s">
        <v>80</v>
      </c>
      <c r="H20" t="s">
        <v>143</v>
      </c>
      <c r="I20" t="s">
        <v>111</v>
      </c>
      <c r="J20" t="s">
        <v>83</v>
      </c>
      <c r="K20">
        <v>268</v>
      </c>
      <c r="L20">
        <v>9</v>
      </c>
      <c r="M20">
        <v>13</v>
      </c>
      <c r="N20">
        <v>5.3941908999999999</v>
      </c>
      <c r="O20">
        <v>0</v>
      </c>
      <c r="Q20">
        <v>241</v>
      </c>
      <c r="R20">
        <v>9</v>
      </c>
      <c r="S20">
        <v>149</v>
      </c>
      <c r="T20">
        <v>135</v>
      </c>
      <c r="U20">
        <v>0</v>
      </c>
      <c r="V20">
        <v>0</v>
      </c>
      <c r="W20">
        <v>0</v>
      </c>
    </row>
    <row r="21" spans="1:23">
      <c r="A21" t="s">
        <v>144</v>
      </c>
      <c r="B21">
        <v>55</v>
      </c>
      <c r="C21" t="s">
        <v>131</v>
      </c>
      <c r="D21" t="s">
        <v>77</v>
      </c>
      <c r="E21" t="s">
        <v>145</v>
      </c>
      <c r="F21" t="s">
        <v>79</v>
      </c>
      <c r="G21" t="s">
        <v>105</v>
      </c>
      <c r="H21" t="s">
        <v>92</v>
      </c>
      <c r="I21" t="s">
        <v>93</v>
      </c>
      <c r="J21" t="s">
        <v>94</v>
      </c>
      <c r="K21">
        <v>152</v>
      </c>
      <c r="L21">
        <v>6</v>
      </c>
      <c r="M21">
        <v>5</v>
      </c>
      <c r="N21">
        <v>4.6728972000000004</v>
      </c>
      <c r="O21">
        <v>0</v>
      </c>
      <c r="Q21">
        <v>107</v>
      </c>
      <c r="R21">
        <v>6</v>
      </c>
      <c r="S21">
        <v>133</v>
      </c>
      <c r="T21">
        <v>81</v>
      </c>
      <c r="U21">
        <v>0</v>
      </c>
      <c r="V21">
        <v>0</v>
      </c>
      <c r="W21">
        <v>0</v>
      </c>
    </row>
    <row r="22" spans="1:23">
      <c r="A22" t="s">
        <v>146</v>
      </c>
      <c r="B22">
        <v>56</v>
      </c>
      <c r="C22" t="s">
        <v>131</v>
      </c>
      <c r="D22" t="s">
        <v>77</v>
      </c>
      <c r="E22" t="s">
        <v>147</v>
      </c>
      <c r="F22" t="s">
        <v>79</v>
      </c>
      <c r="G22" t="s">
        <v>80</v>
      </c>
      <c r="H22" t="s">
        <v>148</v>
      </c>
      <c r="I22" t="s">
        <v>88</v>
      </c>
      <c r="J22" t="s">
        <v>83</v>
      </c>
      <c r="K22">
        <v>358</v>
      </c>
      <c r="L22">
        <v>7</v>
      </c>
      <c r="M22">
        <v>11</v>
      </c>
      <c r="N22">
        <v>4.7210302000000004</v>
      </c>
      <c r="O22">
        <v>2</v>
      </c>
      <c r="Q22">
        <v>233</v>
      </c>
      <c r="R22">
        <v>7</v>
      </c>
      <c r="S22">
        <v>105</v>
      </c>
      <c r="T22">
        <v>65</v>
      </c>
      <c r="U22">
        <v>0</v>
      </c>
      <c r="V22">
        <v>0</v>
      </c>
      <c r="W22">
        <v>0</v>
      </c>
    </row>
    <row r="23" spans="1:23">
      <c r="A23" t="s">
        <v>149</v>
      </c>
      <c r="B23">
        <v>58</v>
      </c>
      <c r="C23" t="s">
        <v>131</v>
      </c>
      <c r="D23" t="s">
        <v>77</v>
      </c>
      <c r="E23" t="s">
        <v>150</v>
      </c>
      <c r="F23" t="s">
        <v>79</v>
      </c>
      <c r="G23" t="s">
        <v>80</v>
      </c>
      <c r="H23" t="s">
        <v>92</v>
      </c>
      <c r="I23" t="s">
        <v>93</v>
      </c>
      <c r="J23" t="s">
        <v>94</v>
      </c>
      <c r="K23">
        <v>200</v>
      </c>
      <c r="L23">
        <v>6</v>
      </c>
      <c r="M23">
        <v>1</v>
      </c>
      <c r="N23">
        <v>0.94339620000000002</v>
      </c>
      <c r="O23">
        <v>0</v>
      </c>
      <c r="Q23">
        <v>106</v>
      </c>
      <c r="R23">
        <v>4</v>
      </c>
      <c r="S23">
        <v>103</v>
      </c>
      <c r="T23">
        <v>86</v>
      </c>
      <c r="U23">
        <v>0</v>
      </c>
      <c r="V23">
        <v>0</v>
      </c>
      <c r="W23">
        <v>0</v>
      </c>
    </row>
    <row r="24" spans="1:23">
      <c r="A24" t="s">
        <v>151</v>
      </c>
      <c r="B24">
        <v>59</v>
      </c>
      <c r="C24" t="s">
        <v>131</v>
      </c>
      <c r="D24" t="s">
        <v>77</v>
      </c>
      <c r="E24" t="s">
        <v>147</v>
      </c>
      <c r="F24" t="s">
        <v>79</v>
      </c>
      <c r="G24" t="s">
        <v>80</v>
      </c>
      <c r="H24" t="s">
        <v>148</v>
      </c>
      <c r="I24" t="s">
        <v>88</v>
      </c>
      <c r="J24" t="s">
        <v>138</v>
      </c>
      <c r="L24">
        <v>7</v>
      </c>
      <c r="O24">
        <v>2</v>
      </c>
      <c r="S24">
        <v>105</v>
      </c>
      <c r="T24">
        <v>65</v>
      </c>
      <c r="U24">
        <v>0</v>
      </c>
      <c r="V24">
        <v>0</v>
      </c>
      <c r="W24">
        <v>0</v>
      </c>
    </row>
    <row r="25" spans="1:23">
      <c r="A25" t="s">
        <v>152</v>
      </c>
      <c r="B25">
        <v>62</v>
      </c>
      <c r="C25" t="s">
        <v>131</v>
      </c>
      <c r="D25" t="s">
        <v>77</v>
      </c>
      <c r="E25" t="s">
        <v>153</v>
      </c>
      <c r="F25" t="s">
        <v>79</v>
      </c>
      <c r="G25" t="s">
        <v>80</v>
      </c>
      <c r="H25" t="s">
        <v>115</v>
      </c>
      <c r="I25" t="s">
        <v>116</v>
      </c>
      <c r="J25" t="s">
        <v>83</v>
      </c>
      <c r="K25">
        <v>246</v>
      </c>
      <c r="L25">
        <v>10</v>
      </c>
      <c r="M25">
        <v>12</v>
      </c>
      <c r="N25">
        <v>8.5714287999999996</v>
      </c>
      <c r="O25">
        <v>0</v>
      </c>
      <c r="Q25">
        <v>140</v>
      </c>
      <c r="R25">
        <v>7</v>
      </c>
      <c r="S25">
        <v>129</v>
      </c>
      <c r="T25">
        <v>63</v>
      </c>
      <c r="U25">
        <v>0</v>
      </c>
      <c r="V25">
        <v>0</v>
      </c>
      <c r="W25">
        <v>0</v>
      </c>
    </row>
    <row r="26" spans="1:23">
      <c r="A26" t="s">
        <v>154</v>
      </c>
      <c r="B26">
        <v>71</v>
      </c>
      <c r="C26" t="s">
        <v>155</v>
      </c>
      <c r="D26" t="s">
        <v>77</v>
      </c>
      <c r="E26" t="s">
        <v>156</v>
      </c>
      <c r="F26" t="s">
        <v>79</v>
      </c>
      <c r="G26" t="s">
        <v>80</v>
      </c>
      <c r="H26" t="s">
        <v>115</v>
      </c>
      <c r="I26" t="s">
        <v>116</v>
      </c>
      <c r="J26" t="s">
        <v>117</v>
      </c>
      <c r="K26">
        <v>598</v>
      </c>
      <c r="L26">
        <v>22</v>
      </c>
      <c r="M26">
        <v>31</v>
      </c>
      <c r="N26">
        <v>5.4290719000000003</v>
      </c>
      <c r="O26">
        <v>0</v>
      </c>
      <c r="Q26">
        <v>571</v>
      </c>
      <c r="R26">
        <v>19</v>
      </c>
      <c r="S26">
        <v>107</v>
      </c>
      <c r="T26">
        <v>206</v>
      </c>
      <c r="U26">
        <v>0</v>
      </c>
      <c r="V26">
        <v>0</v>
      </c>
      <c r="W26">
        <v>0</v>
      </c>
    </row>
    <row r="27" spans="1:23">
      <c r="A27" t="s">
        <v>157</v>
      </c>
      <c r="B27">
        <v>83</v>
      </c>
      <c r="C27" t="s">
        <v>155</v>
      </c>
      <c r="D27" t="s">
        <v>85</v>
      </c>
      <c r="E27" t="s">
        <v>158</v>
      </c>
      <c r="F27" t="s">
        <v>97</v>
      </c>
      <c r="G27" t="s">
        <v>91</v>
      </c>
      <c r="H27" t="s">
        <v>159</v>
      </c>
      <c r="I27" t="s">
        <v>111</v>
      </c>
      <c r="J27" t="s">
        <v>94</v>
      </c>
      <c r="K27">
        <v>142</v>
      </c>
      <c r="L27">
        <v>8</v>
      </c>
      <c r="M27">
        <v>19</v>
      </c>
      <c r="N27">
        <v>14.84375</v>
      </c>
      <c r="O27">
        <v>0</v>
      </c>
      <c r="Q27">
        <v>128</v>
      </c>
      <c r="R27">
        <v>8</v>
      </c>
      <c r="S27">
        <v>104</v>
      </c>
      <c r="T27">
        <v>41</v>
      </c>
      <c r="U27">
        <v>1</v>
      </c>
      <c r="V27">
        <v>0</v>
      </c>
      <c r="W27">
        <v>1</v>
      </c>
    </row>
    <row r="28" spans="1:23">
      <c r="A28" t="s">
        <v>160</v>
      </c>
      <c r="B28">
        <v>84</v>
      </c>
      <c r="C28" t="s">
        <v>155</v>
      </c>
      <c r="D28" t="s">
        <v>77</v>
      </c>
      <c r="E28" t="s">
        <v>161</v>
      </c>
      <c r="F28" t="s">
        <v>79</v>
      </c>
      <c r="G28" t="s">
        <v>91</v>
      </c>
      <c r="H28" t="s">
        <v>162</v>
      </c>
      <c r="I28" t="s">
        <v>116</v>
      </c>
      <c r="J28" t="s">
        <v>94</v>
      </c>
      <c r="K28">
        <v>201</v>
      </c>
      <c r="L28">
        <v>6</v>
      </c>
      <c r="M28">
        <v>12</v>
      </c>
      <c r="N28">
        <v>6.5217390999999996</v>
      </c>
      <c r="O28">
        <v>0</v>
      </c>
      <c r="Q28">
        <v>184</v>
      </c>
      <c r="R28">
        <v>6</v>
      </c>
      <c r="S28">
        <v>115</v>
      </c>
      <c r="T28">
        <v>123</v>
      </c>
      <c r="U28">
        <v>0</v>
      </c>
      <c r="V28">
        <v>0</v>
      </c>
      <c r="W28">
        <v>0</v>
      </c>
    </row>
    <row r="29" spans="1:23">
      <c r="A29" t="s">
        <v>163</v>
      </c>
      <c r="B29">
        <v>86</v>
      </c>
      <c r="C29" t="s">
        <v>155</v>
      </c>
      <c r="D29" t="s">
        <v>77</v>
      </c>
      <c r="E29" t="s">
        <v>164</v>
      </c>
      <c r="F29" t="s">
        <v>79</v>
      </c>
      <c r="G29" t="s">
        <v>105</v>
      </c>
      <c r="H29" t="s">
        <v>162</v>
      </c>
      <c r="I29" t="s">
        <v>116</v>
      </c>
      <c r="J29" t="s">
        <v>94</v>
      </c>
      <c r="K29">
        <v>232</v>
      </c>
      <c r="L29">
        <v>6</v>
      </c>
      <c r="M29">
        <v>13</v>
      </c>
      <c r="N29">
        <v>6.0465115999999997</v>
      </c>
      <c r="O29">
        <v>0</v>
      </c>
      <c r="Q29">
        <v>215</v>
      </c>
      <c r="R29">
        <v>6</v>
      </c>
      <c r="S29">
        <v>118</v>
      </c>
      <c r="T29">
        <v>79</v>
      </c>
      <c r="U29">
        <v>0</v>
      </c>
      <c r="V29">
        <v>0</v>
      </c>
      <c r="W29">
        <v>0</v>
      </c>
    </row>
    <row r="30" spans="1:23">
      <c r="A30" t="s">
        <v>165</v>
      </c>
      <c r="B30">
        <v>89</v>
      </c>
      <c r="C30" t="s">
        <v>155</v>
      </c>
      <c r="D30" t="s">
        <v>77</v>
      </c>
      <c r="E30" t="s">
        <v>166</v>
      </c>
      <c r="F30" t="s">
        <v>79</v>
      </c>
      <c r="G30" t="s">
        <v>105</v>
      </c>
      <c r="H30" t="s">
        <v>167</v>
      </c>
      <c r="I30" t="s">
        <v>168</v>
      </c>
      <c r="J30" t="s">
        <v>117</v>
      </c>
      <c r="K30">
        <v>874</v>
      </c>
      <c r="L30">
        <v>35</v>
      </c>
      <c r="M30">
        <v>91</v>
      </c>
      <c r="N30">
        <v>11.43</v>
      </c>
      <c r="O30">
        <v>0</v>
      </c>
      <c r="Q30">
        <v>796</v>
      </c>
      <c r="R30">
        <v>33</v>
      </c>
      <c r="S30">
        <v>82</v>
      </c>
      <c r="T30">
        <v>65</v>
      </c>
      <c r="U30">
        <v>0</v>
      </c>
      <c r="V30">
        <v>0</v>
      </c>
      <c r="W30">
        <v>0</v>
      </c>
    </row>
    <row r="31" spans="1:23">
      <c r="A31" t="s">
        <v>169</v>
      </c>
      <c r="B31">
        <v>93</v>
      </c>
      <c r="C31" t="s">
        <v>155</v>
      </c>
      <c r="D31" t="s">
        <v>85</v>
      </c>
      <c r="E31" t="s">
        <v>170</v>
      </c>
      <c r="F31" t="s">
        <v>79</v>
      </c>
      <c r="G31" t="s">
        <v>80</v>
      </c>
      <c r="H31" t="s">
        <v>171</v>
      </c>
      <c r="I31" t="s">
        <v>168</v>
      </c>
      <c r="J31" t="s">
        <v>94</v>
      </c>
      <c r="K31">
        <v>85</v>
      </c>
      <c r="L31">
        <v>7</v>
      </c>
      <c r="M31">
        <v>9</v>
      </c>
      <c r="N31">
        <v>20.45</v>
      </c>
      <c r="O31">
        <v>0</v>
      </c>
      <c r="Q31">
        <v>44</v>
      </c>
      <c r="R31">
        <v>5</v>
      </c>
      <c r="S31">
        <v>129</v>
      </c>
      <c r="T31">
        <v>70</v>
      </c>
      <c r="U31">
        <v>1</v>
      </c>
      <c r="V31">
        <v>0</v>
      </c>
      <c r="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showGridLines="0" workbookViewId="0"/>
  </sheetViews>
  <sheetFormatPr baseColWidth="10" defaultColWidth="8.83203125" defaultRowHeight="15"/>
  <cols>
    <col min="1" max="1" width="17.83203125" customWidth="1"/>
    <col min="2" max="2" width="51" customWidth="1"/>
    <col min="3" max="4" width="11.6640625" customWidth="1"/>
    <col min="5" max="6" width="13.5" customWidth="1"/>
    <col min="7" max="7" width="12.33203125" customWidth="1"/>
    <col min="8" max="8" width="13.5" customWidth="1"/>
    <col min="9" max="9" width="14.6640625" customWidth="1"/>
    <col min="10" max="10" width="12.33203125" customWidth="1"/>
    <col min="11" max="11" width="10.5" customWidth="1"/>
    <col min="12" max="12" width="14.1640625" customWidth="1"/>
    <col min="13" max="14" width="20.1640625" customWidth="1"/>
    <col min="15" max="15" width="82.83203125" customWidth="1"/>
  </cols>
  <sheetData>
    <row r="1" spans="1:15" ht="32">
      <c r="A1" s="1" t="s">
        <v>61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</row>
    <row r="2" spans="1:15">
      <c r="A2" t="s">
        <v>94</v>
      </c>
      <c r="B2">
        <v>16</v>
      </c>
      <c r="C2">
        <v>85</v>
      </c>
      <c r="D2">
        <v>232</v>
      </c>
      <c r="E2">
        <v>173.8</v>
      </c>
      <c r="F2">
        <v>182.5</v>
      </c>
      <c r="G2">
        <v>6.2</v>
      </c>
      <c r="H2">
        <v>8.2200000000000006</v>
      </c>
      <c r="I2">
        <v>146.80000000000001</v>
      </c>
      <c r="J2">
        <v>18.8</v>
      </c>
      <c r="K2">
        <v>0</v>
      </c>
      <c r="L2">
        <v>12.5</v>
      </c>
      <c r="M2" t="s">
        <v>105</v>
      </c>
      <c r="N2" t="s">
        <v>93</v>
      </c>
      <c r="O2" t="s">
        <v>186</v>
      </c>
    </row>
    <row r="3" spans="1:15">
      <c r="A3" t="s">
        <v>83</v>
      </c>
      <c r="B3">
        <v>8</v>
      </c>
      <c r="C3">
        <v>242</v>
      </c>
      <c r="D3">
        <v>359</v>
      </c>
      <c r="E3">
        <v>302.5</v>
      </c>
      <c r="F3">
        <v>304</v>
      </c>
      <c r="G3">
        <v>8.4</v>
      </c>
      <c r="H3">
        <v>9.9</v>
      </c>
      <c r="I3">
        <v>163.30000000000001</v>
      </c>
      <c r="J3">
        <v>25</v>
      </c>
      <c r="K3">
        <v>0</v>
      </c>
      <c r="L3">
        <v>12.5</v>
      </c>
      <c r="M3" t="s">
        <v>80</v>
      </c>
      <c r="N3" t="s">
        <v>82</v>
      </c>
      <c r="O3" t="s">
        <v>187</v>
      </c>
    </row>
    <row r="4" spans="1:15">
      <c r="A4" t="s">
        <v>117</v>
      </c>
      <c r="B4">
        <v>4</v>
      </c>
      <c r="C4">
        <v>498</v>
      </c>
      <c r="D4">
        <v>874</v>
      </c>
      <c r="E4">
        <v>662.8</v>
      </c>
      <c r="F4">
        <v>639.5</v>
      </c>
      <c r="G4">
        <v>23.5</v>
      </c>
      <c r="H4">
        <v>5.41</v>
      </c>
      <c r="I4">
        <v>107.5</v>
      </c>
      <c r="J4">
        <v>0</v>
      </c>
      <c r="K4">
        <v>0</v>
      </c>
      <c r="L4">
        <v>0</v>
      </c>
      <c r="M4" t="s">
        <v>105</v>
      </c>
      <c r="N4" t="s">
        <v>116</v>
      </c>
      <c r="O4" t="s">
        <v>188</v>
      </c>
    </row>
    <row r="7" spans="1:15" ht="32">
      <c r="A7" s="1" t="s">
        <v>53</v>
      </c>
      <c r="B7" s="1" t="s">
        <v>56</v>
      </c>
      <c r="C7" s="1" t="s">
        <v>62</v>
      </c>
      <c r="D7" s="1" t="s">
        <v>63</v>
      </c>
      <c r="E7" s="1" t="s">
        <v>55</v>
      </c>
      <c r="F7" s="1" t="s">
        <v>57</v>
      </c>
      <c r="G7" s="1" t="s">
        <v>58</v>
      </c>
      <c r="H7" s="1" t="s">
        <v>60</v>
      </c>
      <c r="I7" s="1" t="s">
        <v>70</v>
      </c>
      <c r="J7" s="1" t="s">
        <v>65</v>
      </c>
    </row>
    <row r="8" spans="1:15">
      <c r="A8" t="s">
        <v>165</v>
      </c>
      <c r="B8" t="s">
        <v>166</v>
      </c>
      <c r="C8">
        <v>874</v>
      </c>
      <c r="D8">
        <v>35</v>
      </c>
      <c r="E8" t="s">
        <v>77</v>
      </c>
      <c r="F8" t="s">
        <v>79</v>
      </c>
      <c r="G8" t="s">
        <v>105</v>
      </c>
      <c r="H8" t="s">
        <v>168</v>
      </c>
      <c r="I8">
        <v>82</v>
      </c>
      <c r="J8">
        <v>11.43</v>
      </c>
    </row>
    <row r="9" spans="1:15">
      <c r="A9" t="s">
        <v>113</v>
      </c>
      <c r="B9" t="s">
        <v>114</v>
      </c>
      <c r="C9">
        <v>681</v>
      </c>
      <c r="D9">
        <v>22</v>
      </c>
      <c r="E9" t="s">
        <v>77</v>
      </c>
      <c r="F9" t="s">
        <v>79</v>
      </c>
      <c r="G9" t="s">
        <v>80</v>
      </c>
      <c r="H9" t="s">
        <v>116</v>
      </c>
      <c r="I9">
        <v>147</v>
      </c>
      <c r="J9">
        <v>0.95</v>
      </c>
    </row>
    <row r="10" spans="1:15">
      <c r="A10" t="s">
        <v>154</v>
      </c>
      <c r="B10" t="s">
        <v>156</v>
      </c>
      <c r="C10">
        <v>598</v>
      </c>
      <c r="D10">
        <v>22</v>
      </c>
      <c r="E10" t="s">
        <v>77</v>
      </c>
      <c r="F10" t="s">
        <v>79</v>
      </c>
      <c r="G10" t="s">
        <v>80</v>
      </c>
      <c r="H10" t="s">
        <v>116</v>
      </c>
      <c r="I10">
        <v>107</v>
      </c>
      <c r="J10">
        <v>5.4290719000000003</v>
      </c>
    </row>
    <row r="11" spans="1:15">
      <c r="A11" t="s">
        <v>139</v>
      </c>
      <c r="B11" t="s">
        <v>140</v>
      </c>
      <c r="C11">
        <v>498</v>
      </c>
      <c r="D11">
        <v>15</v>
      </c>
      <c r="E11" t="s">
        <v>77</v>
      </c>
      <c r="F11" t="s">
        <v>79</v>
      </c>
      <c r="G11" t="s">
        <v>105</v>
      </c>
      <c r="H11" t="s">
        <v>116</v>
      </c>
      <c r="I11">
        <v>94</v>
      </c>
      <c r="J11">
        <v>3.8297873</v>
      </c>
    </row>
    <row r="12" spans="1:15">
      <c r="A12" t="s">
        <v>95</v>
      </c>
      <c r="B12" t="s">
        <v>96</v>
      </c>
      <c r="C12">
        <v>359</v>
      </c>
      <c r="D12">
        <v>10</v>
      </c>
      <c r="E12" t="s">
        <v>77</v>
      </c>
      <c r="F12" t="s">
        <v>97</v>
      </c>
      <c r="G12" t="s">
        <v>91</v>
      </c>
      <c r="H12" t="s">
        <v>82</v>
      </c>
      <c r="I12">
        <v>283</v>
      </c>
      <c r="J12">
        <v>3.1791906999999999</v>
      </c>
    </row>
    <row r="13" spans="1:15">
      <c r="A13" t="s">
        <v>146</v>
      </c>
      <c r="B13" t="s">
        <v>147</v>
      </c>
      <c r="C13">
        <v>358</v>
      </c>
      <c r="D13">
        <v>7</v>
      </c>
      <c r="E13" t="s">
        <v>77</v>
      </c>
      <c r="F13" t="s">
        <v>79</v>
      </c>
      <c r="G13" t="s">
        <v>80</v>
      </c>
      <c r="H13" t="s">
        <v>88</v>
      </c>
      <c r="I13">
        <v>105</v>
      </c>
      <c r="J13">
        <v>4.7210302000000004</v>
      </c>
    </row>
    <row r="14" spans="1:15">
      <c r="A14" t="s">
        <v>102</v>
      </c>
      <c r="B14" t="s">
        <v>104</v>
      </c>
      <c r="C14">
        <v>339</v>
      </c>
      <c r="D14">
        <v>9</v>
      </c>
      <c r="E14" t="s">
        <v>85</v>
      </c>
      <c r="F14" t="s">
        <v>79</v>
      </c>
      <c r="G14" t="s">
        <v>105</v>
      </c>
      <c r="H14" t="s">
        <v>107</v>
      </c>
      <c r="I14">
        <v>143</v>
      </c>
      <c r="J14">
        <v>25.8899689</v>
      </c>
    </row>
    <row r="15" spans="1:15">
      <c r="A15" t="s">
        <v>99</v>
      </c>
      <c r="B15" t="s">
        <v>100</v>
      </c>
      <c r="C15">
        <v>314</v>
      </c>
      <c r="D15">
        <v>7</v>
      </c>
      <c r="E15" t="s">
        <v>77</v>
      </c>
      <c r="F15" t="s">
        <v>79</v>
      </c>
      <c r="G15" t="s">
        <v>101</v>
      </c>
      <c r="H15" t="s">
        <v>82</v>
      </c>
      <c r="I15">
        <v>147</v>
      </c>
      <c r="J15">
        <v>2.0066888999999999</v>
      </c>
    </row>
    <row r="16" spans="1:15">
      <c r="A16" t="s">
        <v>75</v>
      </c>
      <c r="B16" t="s">
        <v>78</v>
      </c>
      <c r="C16">
        <v>294</v>
      </c>
      <c r="D16">
        <v>6</v>
      </c>
      <c r="E16" t="s">
        <v>77</v>
      </c>
      <c r="F16" t="s">
        <v>79</v>
      </c>
      <c r="G16" t="s">
        <v>80</v>
      </c>
      <c r="H16" t="s">
        <v>82</v>
      </c>
      <c r="I16">
        <v>178</v>
      </c>
      <c r="J16">
        <v>2.8469751000000003</v>
      </c>
    </row>
    <row r="17" spans="1:10">
      <c r="A17" t="s">
        <v>141</v>
      </c>
      <c r="B17" t="s">
        <v>142</v>
      </c>
      <c r="C17">
        <v>268</v>
      </c>
      <c r="D17">
        <v>9</v>
      </c>
      <c r="E17" t="s">
        <v>77</v>
      </c>
      <c r="F17" t="s">
        <v>79</v>
      </c>
      <c r="G17" t="s">
        <v>80</v>
      </c>
      <c r="H17" t="s">
        <v>111</v>
      </c>
      <c r="I17">
        <v>149</v>
      </c>
      <c r="J17">
        <v>5.3941908999999999</v>
      </c>
    </row>
    <row r="21" spans="1:10" ht="32">
      <c r="A21" s="1" t="s">
        <v>7</v>
      </c>
      <c r="B21" s="1" t="s">
        <v>189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</row>
    <row r="22" spans="1:10">
      <c r="A22" t="s">
        <v>29</v>
      </c>
      <c r="B22" t="s">
        <v>195</v>
      </c>
      <c r="C22">
        <v>112.75</v>
      </c>
      <c r="D22">
        <v>74.041666666666671</v>
      </c>
      <c r="E22">
        <v>38.708333333333329</v>
      </c>
      <c r="F22">
        <v>4</v>
      </c>
      <c r="G22">
        <v>24</v>
      </c>
    </row>
    <row r="23" spans="1:10">
      <c r="A23" t="s">
        <v>64</v>
      </c>
      <c r="B23" t="s">
        <v>195</v>
      </c>
      <c r="C23">
        <v>36.25</v>
      </c>
      <c r="D23">
        <v>15.478260869565217</v>
      </c>
      <c r="E23">
        <v>20.771739130434781</v>
      </c>
      <c r="F23">
        <v>4</v>
      </c>
      <c r="G23">
        <v>24</v>
      </c>
    </row>
    <row r="24" spans="1:10">
      <c r="A24" t="s">
        <v>16</v>
      </c>
      <c r="B24" t="s">
        <v>195</v>
      </c>
      <c r="C24">
        <v>59</v>
      </c>
      <c r="D24">
        <v>39.875</v>
      </c>
      <c r="E24">
        <v>19.125</v>
      </c>
      <c r="F24">
        <v>4</v>
      </c>
      <c r="G24">
        <v>24</v>
      </c>
    </row>
    <row r="25" spans="1:10">
      <c r="A25" t="s">
        <v>60</v>
      </c>
      <c r="B25" t="s">
        <v>116</v>
      </c>
      <c r="C25">
        <v>0.75</v>
      </c>
      <c r="D25">
        <v>0.16666666666666666</v>
      </c>
      <c r="E25">
        <v>0.58333333333333337</v>
      </c>
      <c r="F25">
        <v>3</v>
      </c>
      <c r="G25">
        <v>4</v>
      </c>
    </row>
    <row r="26" spans="1:10">
      <c r="A26" t="s">
        <v>196</v>
      </c>
      <c r="B26" t="s">
        <v>105</v>
      </c>
      <c r="C26">
        <v>0.5</v>
      </c>
      <c r="D26">
        <v>0.25</v>
      </c>
      <c r="E26">
        <v>0.25</v>
      </c>
      <c r="F26">
        <v>2</v>
      </c>
      <c r="G26">
        <v>6</v>
      </c>
    </row>
    <row r="27" spans="1:10">
      <c r="A27" t="s">
        <v>55</v>
      </c>
      <c r="B27" t="s">
        <v>77</v>
      </c>
      <c r="C27">
        <v>1</v>
      </c>
      <c r="D27">
        <v>0.79166666666666663</v>
      </c>
      <c r="E27">
        <v>0.20833333333333337</v>
      </c>
      <c r="F27">
        <v>4</v>
      </c>
      <c r="G27">
        <v>19</v>
      </c>
    </row>
    <row r="28" spans="1:10">
      <c r="A28" t="s">
        <v>60</v>
      </c>
      <c r="B28" t="s">
        <v>168</v>
      </c>
      <c r="C28">
        <v>0.25</v>
      </c>
      <c r="D28">
        <v>4.1666666666666664E-2</v>
      </c>
      <c r="E28">
        <v>0.20833333333333334</v>
      </c>
      <c r="F28">
        <v>1</v>
      </c>
      <c r="G28">
        <v>1</v>
      </c>
    </row>
    <row r="29" spans="1:10">
      <c r="A29" t="s">
        <v>196</v>
      </c>
      <c r="B29" t="s">
        <v>80</v>
      </c>
      <c r="C29">
        <v>0.5</v>
      </c>
      <c r="D29">
        <v>0.375</v>
      </c>
      <c r="E29">
        <v>0.125</v>
      </c>
      <c r="F29">
        <v>2</v>
      </c>
      <c r="G29">
        <v>9</v>
      </c>
    </row>
    <row r="30" spans="1:10">
      <c r="A30" t="s">
        <v>57</v>
      </c>
      <c r="B30" t="s">
        <v>79</v>
      </c>
      <c r="C30">
        <v>1</v>
      </c>
      <c r="D30">
        <v>0.875</v>
      </c>
      <c r="E30">
        <v>0.125</v>
      </c>
      <c r="F30">
        <v>4</v>
      </c>
      <c r="G30">
        <v>21</v>
      </c>
    </row>
    <row r="31" spans="1:10">
      <c r="A31" t="s">
        <v>60</v>
      </c>
      <c r="B31" t="s">
        <v>129</v>
      </c>
      <c r="C31">
        <v>0</v>
      </c>
      <c r="D31">
        <v>4.1666666666666664E-2</v>
      </c>
      <c r="E31">
        <v>-4.1666666666666664E-2</v>
      </c>
      <c r="F31">
        <v>0</v>
      </c>
      <c r="G31">
        <v>1</v>
      </c>
    </row>
    <row r="32" spans="1:10">
      <c r="A32" t="s">
        <v>60</v>
      </c>
      <c r="B32" t="s">
        <v>107</v>
      </c>
      <c r="C32">
        <v>0</v>
      </c>
      <c r="D32">
        <v>0.125</v>
      </c>
      <c r="E32">
        <v>-0.125</v>
      </c>
      <c r="F32">
        <v>0</v>
      </c>
      <c r="G32">
        <v>3</v>
      </c>
    </row>
    <row r="33" spans="1:7">
      <c r="A33" t="s">
        <v>60</v>
      </c>
      <c r="B33" t="s">
        <v>111</v>
      </c>
      <c r="C33">
        <v>0</v>
      </c>
      <c r="D33">
        <v>0.125</v>
      </c>
      <c r="E33">
        <v>-0.125</v>
      </c>
      <c r="F33">
        <v>0</v>
      </c>
      <c r="G33">
        <v>3</v>
      </c>
    </row>
    <row r="34" spans="1:7">
      <c r="A34" t="s">
        <v>60</v>
      </c>
      <c r="B34" t="s">
        <v>88</v>
      </c>
      <c r="C34">
        <v>0</v>
      </c>
      <c r="D34">
        <v>0.125</v>
      </c>
      <c r="E34">
        <v>-0.125</v>
      </c>
      <c r="F34">
        <v>0</v>
      </c>
      <c r="G34">
        <v>3</v>
      </c>
    </row>
    <row r="35" spans="1:7">
      <c r="A35" t="s">
        <v>57</v>
      </c>
      <c r="B35" t="s">
        <v>97</v>
      </c>
      <c r="C35">
        <v>0</v>
      </c>
      <c r="D35">
        <v>0.125</v>
      </c>
      <c r="E35">
        <v>-0.125</v>
      </c>
      <c r="F35">
        <v>0</v>
      </c>
      <c r="G35">
        <v>3</v>
      </c>
    </row>
    <row r="36" spans="1:7">
      <c r="A36" t="s">
        <v>196</v>
      </c>
      <c r="B36" t="s">
        <v>101</v>
      </c>
      <c r="C36">
        <v>0</v>
      </c>
      <c r="D36">
        <v>0.16666666666666666</v>
      </c>
      <c r="E36">
        <v>-0.16666666666666666</v>
      </c>
      <c r="F36">
        <v>0</v>
      </c>
      <c r="G36">
        <v>4</v>
      </c>
    </row>
    <row r="37" spans="1:7">
      <c r="A37" t="s">
        <v>60</v>
      </c>
      <c r="B37" t="s">
        <v>93</v>
      </c>
      <c r="C37">
        <v>0</v>
      </c>
      <c r="D37">
        <v>0.16666666666666666</v>
      </c>
      <c r="E37">
        <v>-0.16666666666666666</v>
      </c>
      <c r="F37">
        <v>0</v>
      </c>
      <c r="G37">
        <v>4</v>
      </c>
    </row>
    <row r="38" spans="1:7">
      <c r="A38" t="s">
        <v>196</v>
      </c>
      <c r="B38" t="s">
        <v>91</v>
      </c>
      <c r="C38">
        <v>0</v>
      </c>
      <c r="D38">
        <v>0.20833333333333334</v>
      </c>
      <c r="E38">
        <v>-0.20833333333333334</v>
      </c>
      <c r="F38">
        <v>0</v>
      </c>
      <c r="G38">
        <v>5</v>
      </c>
    </row>
    <row r="39" spans="1:7">
      <c r="A39" t="s">
        <v>60</v>
      </c>
      <c r="B39" t="s">
        <v>82</v>
      </c>
      <c r="C39">
        <v>0</v>
      </c>
      <c r="D39">
        <v>0.20833333333333334</v>
      </c>
      <c r="E39">
        <v>-0.20833333333333334</v>
      </c>
      <c r="F39">
        <v>0</v>
      </c>
      <c r="G39">
        <v>5</v>
      </c>
    </row>
    <row r="40" spans="1:7">
      <c r="A40" t="s">
        <v>55</v>
      </c>
      <c r="B40" t="s">
        <v>85</v>
      </c>
      <c r="C40">
        <v>0</v>
      </c>
      <c r="D40">
        <v>0.20833333333333334</v>
      </c>
      <c r="E40">
        <v>-0.20833333333333334</v>
      </c>
      <c r="F40">
        <v>0</v>
      </c>
      <c r="G40">
        <v>5</v>
      </c>
    </row>
    <row r="41" spans="1:7">
      <c r="A41" t="s">
        <v>65</v>
      </c>
      <c r="B41" t="s">
        <v>195</v>
      </c>
      <c r="C41">
        <v>5.4097147999999997</v>
      </c>
      <c r="D41">
        <v>8.8006460304347822</v>
      </c>
      <c r="E41">
        <v>-3.3909312304347825</v>
      </c>
      <c r="F41">
        <v>4</v>
      </c>
      <c r="G41">
        <v>24</v>
      </c>
    </row>
    <row r="42" spans="1:7">
      <c r="A42" t="s">
        <v>23</v>
      </c>
      <c r="B42" t="s">
        <v>195</v>
      </c>
      <c r="C42">
        <v>107.5</v>
      </c>
      <c r="D42">
        <v>152.29166666666666</v>
      </c>
      <c r="E42">
        <v>-44.791666666666657</v>
      </c>
      <c r="F42">
        <v>4</v>
      </c>
      <c r="G42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"/>
  <sheetViews>
    <sheetView showGridLines="0" workbookViewId="0"/>
  </sheetViews>
  <sheetFormatPr baseColWidth="10" defaultColWidth="8.83203125" defaultRowHeight="15"/>
  <cols>
    <col min="1" max="1" width="14.1640625" customWidth="1"/>
    <col min="2" max="2" width="6.6640625" customWidth="1"/>
    <col min="3" max="4" width="14.1640625" customWidth="1"/>
    <col min="5" max="6" width="12.83203125" customWidth="1"/>
    <col min="8" max="8" width="14.1640625" customWidth="1"/>
    <col min="9" max="9" width="6.6640625" customWidth="1"/>
    <col min="10" max="10" width="14.1640625" customWidth="1"/>
    <col min="11" max="11" width="15.33203125" customWidth="1"/>
    <col min="12" max="12" width="11.6640625" customWidth="1"/>
    <col min="13" max="13" width="10.5" customWidth="1"/>
    <col min="14" max="15" width="11.6640625" customWidth="1"/>
  </cols>
  <sheetData>
    <row r="1" spans="1:20" ht="32">
      <c r="A1" s="1" t="s">
        <v>197</v>
      </c>
      <c r="B1" s="1" t="s">
        <v>172</v>
      </c>
      <c r="C1" s="1" t="s">
        <v>198</v>
      </c>
      <c r="D1" s="1" t="s">
        <v>175</v>
      </c>
      <c r="E1" s="1" t="s">
        <v>199</v>
      </c>
      <c r="F1" s="1" t="s">
        <v>177</v>
      </c>
      <c r="H1" s="1" t="s">
        <v>6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R1" s="1" t="s">
        <v>197</v>
      </c>
      <c r="S1" s="1" t="s">
        <v>199</v>
      </c>
      <c r="T1" s="1" t="s">
        <v>177</v>
      </c>
    </row>
    <row r="2" spans="1:20">
      <c r="A2" t="s">
        <v>207</v>
      </c>
      <c r="B2">
        <v>3</v>
      </c>
      <c r="C2">
        <v>737</v>
      </c>
      <c r="D2">
        <v>245.7</v>
      </c>
      <c r="E2">
        <v>21</v>
      </c>
      <c r="F2">
        <v>7</v>
      </c>
      <c r="H2" t="s">
        <v>12</v>
      </c>
      <c r="I2">
        <v>28</v>
      </c>
      <c r="J2">
        <v>0.72560000000000002</v>
      </c>
      <c r="K2">
        <v>5.08</v>
      </c>
      <c r="L2">
        <v>249.48</v>
      </c>
      <c r="M2">
        <v>1.2999999999999999E-2</v>
      </c>
      <c r="N2" t="s">
        <v>75</v>
      </c>
      <c r="O2" t="s">
        <v>169</v>
      </c>
      <c r="R2" t="s">
        <v>207</v>
      </c>
      <c r="S2">
        <v>21</v>
      </c>
      <c r="T2">
        <v>7</v>
      </c>
    </row>
    <row r="3" spans="1:20">
      <c r="A3" t="s">
        <v>95</v>
      </c>
      <c r="B3">
        <v>2</v>
      </c>
      <c r="C3">
        <v>673</v>
      </c>
      <c r="D3">
        <v>336.5</v>
      </c>
      <c r="E3">
        <v>17</v>
      </c>
      <c r="F3">
        <v>8.5</v>
      </c>
      <c r="H3" t="s">
        <v>44</v>
      </c>
      <c r="I3">
        <v>28</v>
      </c>
      <c r="J3">
        <v>6.5600000000000006E-2</v>
      </c>
      <c r="K3">
        <v>0.46</v>
      </c>
      <c r="L3">
        <v>6.49</v>
      </c>
      <c r="M3">
        <v>7.8E-2</v>
      </c>
      <c r="N3" t="s">
        <v>75</v>
      </c>
      <c r="O3" t="s">
        <v>169</v>
      </c>
      <c r="R3" t="s">
        <v>95</v>
      </c>
      <c r="S3">
        <v>17</v>
      </c>
      <c r="T3">
        <v>8.5</v>
      </c>
    </row>
    <row r="4" spans="1:20">
      <c r="A4" t="s">
        <v>208</v>
      </c>
      <c r="B4">
        <v>1</v>
      </c>
      <c r="C4">
        <v>339</v>
      </c>
      <c r="D4">
        <v>339</v>
      </c>
      <c r="E4">
        <v>9</v>
      </c>
      <c r="F4">
        <v>9</v>
      </c>
      <c r="R4" t="s">
        <v>208</v>
      </c>
      <c r="S4">
        <v>9</v>
      </c>
      <c r="T4">
        <v>9</v>
      </c>
    </row>
    <row r="5" spans="1:20">
      <c r="A5" t="s">
        <v>209</v>
      </c>
      <c r="B5">
        <v>3</v>
      </c>
      <c r="C5">
        <v>1023</v>
      </c>
      <c r="D5">
        <v>341</v>
      </c>
      <c r="E5">
        <v>35</v>
      </c>
      <c r="F5">
        <v>11.7</v>
      </c>
      <c r="R5" t="s">
        <v>209</v>
      </c>
      <c r="S5">
        <v>35</v>
      </c>
      <c r="T5">
        <v>11.7</v>
      </c>
    </row>
    <row r="6" spans="1:20">
      <c r="A6" t="s">
        <v>210</v>
      </c>
      <c r="B6">
        <v>1</v>
      </c>
      <c r="C6">
        <v>204</v>
      </c>
      <c r="D6">
        <v>204</v>
      </c>
      <c r="E6">
        <v>7</v>
      </c>
      <c r="F6">
        <v>7</v>
      </c>
      <c r="R6" t="s">
        <v>210</v>
      </c>
      <c r="S6">
        <v>7</v>
      </c>
      <c r="T6">
        <v>7</v>
      </c>
    </row>
    <row r="7" spans="1:20">
      <c r="A7" t="s">
        <v>120</v>
      </c>
      <c r="B7">
        <v>4</v>
      </c>
      <c r="C7">
        <v>643</v>
      </c>
      <c r="D7">
        <v>160.80000000000001</v>
      </c>
      <c r="E7">
        <v>22</v>
      </c>
      <c r="F7">
        <v>5.5</v>
      </c>
      <c r="R7" t="s">
        <v>120</v>
      </c>
      <c r="S7">
        <v>22</v>
      </c>
      <c r="T7">
        <v>5.5</v>
      </c>
    </row>
    <row r="8" spans="1:20">
      <c r="A8" t="s">
        <v>211</v>
      </c>
      <c r="B8">
        <v>2</v>
      </c>
      <c r="C8">
        <v>378</v>
      </c>
      <c r="D8">
        <v>189</v>
      </c>
      <c r="E8">
        <v>12</v>
      </c>
      <c r="F8">
        <v>6</v>
      </c>
      <c r="R8" t="s">
        <v>211</v>
      </c>
      <c r="S8">
        <v>12</v>
      </c>
      <c r="T8">
        <v>6</v>
      </c>
    </row>
    <row r="9" spans="1:20">
      <c r="A9" t="s">
        <v>135</v>
      </c>
      <c r="B9">
        <v>2</v>
      </c>
      <c r="C9">
        <v>766</v>
      </c>
      <c r="D9">
        <v>383</v>
      </c>
      <c r="E9">
        <v>24</v>
      </c>
      <c r="F9">
        <v>12</v>
      </c>
      <c r="R9" t="s">
        <v>135</v>
      </c>
      <c r="S9">
        <v>24</v>
      </c>
      <c r="T9">
        <v>12</v>
      </c>
    </row>
    <row r="10" spans="1:20">
      <c r="A10" t="s">
        <v>144</v>
      </c>
      <c r="B10">
        <v>3</v>
      </c>
      <c r="C10">
        <v>710</v>
      </c>
      <c r="D10">
        <v>236.7</v>
      </c>
      <c r="E10">
        <v>19</v>
      </c>
      <c r="F10">
        <v>6.3</v>
      </c>
      <c r="R10" t="s">
        <v>144</v>
      </c>
      <c r="S10">
        <v>19</v>
      </c>
      <c r="T10">
        <v>6.3</v>
      </c>
    </row>
    <row r="11" spans="1:20">
      <c r="A11" t="s">
        <v>152</v>
      </c>
      <c r="B11">
        <v>1</v>
      </c>
      <c r="C11">
        <v>246</v>
      </c>
      <c r="D11">
        <v>246</v>
      </c>
      <c r="E11">
        <v>10</v>
      </c>
      <c r="F11">
        <v>10</v>
      </c>
      <c r="R11" t="s">
        <v>152</v>
      </c>
      <c r="S11">
        <v>10</v>
      </c>
      <c r="T11">
        <v>10</v>
      </c>
    </row>
    <row r="12" spans="1:20">
      <c r="A12" t="s">
        <v>212</v>
      </c>
      <c r="B12">
        <v>1</v>
      </c>
      <c r="C12">
        <v>598</v>
      </c>
      <c r="D12">
        <v>598</v>
      </c>
      <c r="E12">
        <v>22</v>
      </c>
      <c r="F12">
        <v>22</v>
      </c>
      <c r="R12" t="s">
        <v>212</v>
      </c>
      <c r="S12">
        <v>22</v>
      </c>
      <c r="T12">
        <v>22</v>
      </c>
    </row>
    <row r="13" spans="1:20">
      <c r="A13" t="s">
        <v>157</v>
      </c>
      <c r="B13">
        <v>4</v>
      </c>
      <c r="C13">
        <v>1449</v>
      </c>
      <c r="D13">
        <v>362.3</v>
      </c>
      <c r="E13">
        <v>55</v>
      </c>
      <c r="F13">
        <v>13.8</v>
      </c>
      <c r="R13" t="s">
        <v>157</v>
      </c>
      <c r="S13">
        <v>55</v>
      </c>
      <c r="T13">
        <v>13.8</v>
      </c>
    </row>
    <row r="14" spans="1:20">
      <c r="A14" t="s">
        <v>213</v>
      </c>
      <c r="B14">
        <v>1</v>
      </c>
      <c r="C14">
        <v>85</v>
      </c>
      <c r="D14">
        <v>85</v>
      </c>
      <c r="E14">
        <v>7</v>
      </c>
      <c r="F14">
        <v>7</v>
      </c>
      <c r="R14" t="s">
        <v>213</v>
      </c>
      <c r="S14">
        <v>7</v>
      </c>
      <c r="T14">
        <v>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showGridLines="0" workbookViewId="0"/>
  </sheetViews>
  <sheetFormatPr baseColWidth="10" defaultColWidth="8.83203125" defaultRowHeight="15"/>
  <cols>
    <col min="1" max="1" width="31.33203125" customWidth="1"/>
    <col min="2" max="2" width="12.33203125" customWidth="1"/>
    <col min="3" max="3" width="31.33203125" customWidth="1"/>
    <col min="4" max="4" width="14.1640625" customWidth="1"/>
    <col min="5" max="5" width="12.83203125" customWidth="1"/>
    <col min="6" max="6" width="15.33203125" customWidth="1"/>
    <col min="7" max="7" width="12.83203125" customWidth="1"/>
  </cols>
  <sheetData>
    <row r="1" spans="1:7" ht="32">
      <c r="A1" s="1" t="s">
        <v>5</v>
      </c>
      <c r="B1" s="1" t="s">
        <v>6</v>
      </c>
      <c r="C1" s="1" t="s">
        <v>200</v>
      </c>
      <c r="D1" s="1" t="s">
        <v>214</v>
      </c>
      <c r="E1" s="1" t="s">
        <v>215</v>
      </c>
      <c r="F1" s="1" t="s">
        <v>216</v>
      </c>
      <c r="G1" s="1" t="s">
        <v>217</v>
      </c>
    </row>
    <row r="2" spans="1:7">
      <c r="A2" t="s">
        <v>11</v>
      </c>
      <c r="B2" t="s">
        <v>12</v>
      </c>
      <c r="C2">
        <v>28</v>
      </c>
      <c r="D2">
        <v>10</v>
      </c>
      <c r="E2">
        <v>0.437</v>
      </c>
      <c r="F2">
        <v>0.107</v>
      </c>
      <c r="G2">
        <v>308.58</v>
      </c>
    </row>
    <row r="3" spans="1:7">
      <c r="A3" t="s">
        <v>43</v>
      </c>
      <c r="B3" t="s">
        <v>44</v>
      </c>
      <c r="C3">
        <v>28</v>
      </c>
      <c r="D3">
        <v>10</v>
      </c>
      <c r="E3">
        <v>0.49399999999999999</v>
      </c>
      <c r="F3">
        <v>0.19600000000000001</v>
      </c>
      <c r="G3">
        <v>11.47</v>
      </c>
    </row>
    <row r="4" spans="1:7">
      <c r="A4" t="s">
        <v>218</v>
      </c>
      <c r="B4" t="s">
        <v>44</v>
      </c>
      <c r="C4">
        <v>28</v>
      </c>
      <c r="D4">
        <v>11</v>
      </c>
      <c r="E4">
        <v>0.94199999999999995</v>
      </c>
      <c r="F4">
        <v>0.90300000000000002</v>
      </c>
      <c r="G4">
        <v>3.75</v>
      </c>
    </row>
    <row r="7" spans="1:7" ht="32">
      <c r="A7" s="1" t="s">
        <v>5</v>
      </c>
      <c r="B7" s="1" t="s">
        <v>6</v>
      </c>
      <c r="C7" s="1" t="s">
        <v>7</v>
      </c>
      <c r="D7" s="1" t="s">
        <v>8</v>
      </c>
      <c r="E7" s="1" t="s">
        <v>219</v>
      </c>
      <c r="F7" s="1" t="s">
        <v>220</v>
      </c>
      <c r="G7" s="1" t="s">
        <v>9</v>
      </c>
    </row>
    <row r="8" spans="1:7">
      <c r="A8" t="s">
        <v>11</v>
      </c>
      <c r="B8" t="s">
        <v>12</v>
      </c>
      <c r="C8" t="s">
        <v>13</v>
      </c>
      <c r="D8">
        <v>0.70099999999999996</v>
      </c>
      <c r="E8">
        <v>0.70099999999999996</v>
      </c>
      <c r="F8">
        <v>484.39800000000002</v>
      </c>
      <c r="G8" t="s">
        <v>14</v>
      </c>
    </row>
    <row r="9" spans="1:7">
      <c r="A9" t="s">
        <v>11</v>
      </c>
      <c r="B9" t="s">
        <v>12</v>
      </c>
      <c r="C9" t="s">
        <v>16</v>
      </c>
      <c r="D9">
        <v>-0.68600000000000005</v>
      </c>
      <c r="E9">
        <v>0.68600000000000005</v>
      </c>
      <c r="F9">
        <v>-4.3570000000000002</v>
      </c>
      <c r="G9" t="s">
        <v>17</v>
      </c>
    </row>
    <row r="10" spans="1:7">
      <c r="A10" t="s">
        <v>11</v>
      </c>
      <c r="B10" t="s">
        <v>12</v>
      </c>
      <c r="C10" t="s">
        <v>20</v>
      </c>
      <c r="D10">
        <v>0.48899999999999999</v>
      </c>
      <c r="E10">
        <v>0.48899999999999999</v>
      </c>
      <c r="F10">
        <v>201.066</v>
      </c>
      <c r="G10" t="s">
        <v>14</v>
      </c>
    </row>
    <row r="11" spans="1:7">
      <c r="A11" t="s">
        <v>11</v>
      </c>
      <c r="B11" t="s">
        <v>12</v>
      </c>
      <c r="C11" t="s">
        <v>23</v>
      </c>
      <c r="D11">
        <v>-0.38</v>
      </c>
      <c r="E11">
        <v>0.38</v>
      </c>
      <c r="F11">
        <v>-1.357</v>
      </c>
      <c r="G11" t="s">
        <v>17</v>
      </c>
    </row>
    <row r="12" spans="1:7">
      <c r="A12" t="s">
        <v>11</v>
      </c>
      <c r="B12" t="s">
        <v>12</v>
      </c>
      <c r="C12" t="s">
        <v>26</v>
      </c>
      <c r="D12">
        <v>-0.20499999999999999</v>
      </c>
      <c r="E12">
        <v>0.20499999999999999</v>
      </c>
      <c r="F12">
        <v>-95.382000000000005</v>
      </c>
      <c r="G12" t="s">
        <v>17</v>
      </c>
    </row>
    <row r="13" spans="1:7">
      <c r="A13" t="s">
        <v>11</v>
      </c>
      <c r="B13" t="s">
        <v>12</v>
      </c>
      <c r="C13" t="s">
        <v>29</v>
      </c>
      <c r="D13">
        <v>0.17100000000000001</v>
      </c>
      <c r="E13">
        <v>0.17100000000000001</v>
      </c>
      <c r="F13">
        <v>0.79900000000000004</v>
      </c>
      <c r="G13" t="s">
        <v>14</v>
      </c>
    </row>
    <row r="14" spans="1:7">
      <c r="A14" t="s">
        <v>11</v>
      </c>
      <c r="B14" t="s">
        <v>12</v>
      </c>
      <c r="C14" t="s">
        <v>32</v>
      </c>
      <c r="D14">
        <v>0.16700000000000001</v>
      </c>
      <c r="E14">
        <v>0.16700000000000001</v>
      </c>
      <c r="F14">
        <v>95.963999999999999</v>
      </c>
      <c r="G14" t="s">
        <v>14</v>
      </c>
    </row>
    <row r="15" spans="1:7">
      <c r="A15" t="s">
        <v>11</v>
      </c>
      <c r="B15" t="s">
        <v>12</v>
      </c>
      <c r="C15" t="s">
        <v>35</v>
      </c>
      <c r="D15">
        <v>5.1999999999999998E-2</v>
      </c>
      <c r="E15">
        <v>5.1999999999999998E-2</v>
      </c>
      <c r="F15">
        <v>20.577000000000002</v>
      </c>
      <c r="G15" t="s">
        <v>14</v>
      </c>
    </row>
    <row r="16" spans="1:7">
      <c r="A16" t="s">
        <v>11</v>
      </c>
      <c r="B16" t="s">
        <v>12</v>
      </c>
      <c r="C16" t="s">
        <v>221</v>
      </c>
      <c r="D16">
        <v>1.7000000000000001E-2</v>
      </c>
      <c r="E16">
        <v>1.7000000000000001E-2</v>
      </c>
      <c r="F16">
        <v>6.0449999999999999</v>
      </c>
      <c r="G16" t="s">
        <v>14</v>
      </c>
    </row>
    <row r="17" spans="1:7">
      <c r="A17" t="s">
        <v>11</v>
      </c>
      <c r="B17" t="s">
        <v>12</v>
      </c>
      <c r="C17" t="s">
        <v>45</v>
      </c>
      <c r="D17">
        <v>-1.4E-2</v>
      </c>
      <c r="E17">
        <v>1.4E-2</v>
      </c>
      <c r="F17">
        <v>-6.5519999999999996</v>
      </c>
      <c r="G17" t="s">
        <v>17</v>
      </c>
    </row>
    <row r="18" spans="1:7">
      <c r="A18" t="s">
        <v>43</v>
      </c>
      <c r="B18" t="s">
        <v>44</v>
      </c>
      <c r="C18" t="s">
        <v>13</v>
      </c>
      <c r="D18">
        <v>0.79</v>
      </c>
      <c r="E18">
        <v>0.79</v>
      </c>
      <c r="F18">
        <v>20.177</v>
      </c>
      <c r="G18" t="s">
        <v>14</v>
      </c>
    </row>
    <row r="19" spans="1:7">
      <c r="A19" t="s">
        <v>43</v>
      </c>
      <c r="B19" t="s">
        <v>44</v>
      </c>
      <c r="C19" t="s">
        <v>16</v>
      </c>
      <c r="D19">
        <v>-0.47899999999999998</v>
      </c>
      <c r="E19">
        <v>0.47899999999999998</v>
      </c>
      <c r="F19">
        <v>-0.113</v>
      </c>
      <c r="G19" t="s">
        <v>17</v>
      </c>
    </row>
    <row r="20" spans="1:7">
      <c r="A20" t="s">
        <v>43</v>
      </c>
      <c r="B20" t="s">
        <v>44</v>
      </c>
      <c r="C20" t="s">
        <v>20</v>
      </c>
      <c r="D20">
        <v>0.433</v>
      </c>
      <c r="E20">
        <v>0.433</v>
      </c>
      <c r="F20">
        <v>6.5810000000000004</v>
      </c>
      <c r="G20" t="s">
        <v>14</v>
      </c>
    </row>
    <row r="21" spans="1:7">
      <c r="A21" t="s">
        <v>43</v>
      </c>
      <c r="B21" t="s">
        <v>44</v>
      </c>
      <c r="C21" t="s">
        <v>23</v>
      </c>
      <c r="D21">
        <v>-0.29299999999999998</v>
      </c>
      <c r="E21">
        <v>0.29299999999999998</v>
      </c>
      <c r="F21">
        <v>-3.9E-2</v>
      </c>
      <c r="G21" t="s">
        <v>17</v>
      </c>
    </row>
    <row r="22" spans="1:7">
      <c r="A22" t="s">
        <v>43</v>
      </c>
      <c r="B22" t="s">
        <v>44</v>
      </c>
      <c r="C22" t="s">
        <v>32</v>
      </c>
      <c r="D22">
        <v>0.22800000000000001</v>
      </c>
      <c r="E22">
        <v>0.22800000000000001</v>
      </c>
      <c r="F22">
        <v>4.843</v>
      </c>
      <c r="G22" t="s">
        <v>14</v>
      </c>
    </row>
    <row r="23" spans="1:7">
      <c r="A23" t="s">
        <v>43</v>
      </c>
      <c r="B23" t="s">
        <v>44</v>
      </c>
      <c r="C23" t="s">
        <v>29</v>
      </c>
      <c r="D23">
        <v>0.19500000000000001</v>
      </c>
      <c r="E23">
        <v>0.19500000000000001</v>
      </c>
      <c r="F23">
        <v>3.4000000000000002E-2</v>
      </c>
      <c r="G23" t="s">
        <v>14</v>
      </c>
    </row>
    <row r="24" spans="1:7">
      <c r="A24" t="s">
        <v>43</v>
      </c>
      <c r="B24" t="s">
        <v>44</v>
      </c>
      <c r="C24" t="s">
        <v>26</v>
      </c>
      <c r="D24">
        <v>-0.13800000000000001</v>
      </c>
      <c r="E24">
        <v>0.13800000000000001</v>
      </c>
      <c r="F24">
        <v>-2.3679999999999999</v>
      </c>
      <c r="G24" t="s">
        <v>17</v>
      </c>
    </row>
    <row r="25" spans="1:7">
      <c r="A25" t="s">
        <v>43</v>
      </c>
      <c r="B25" t="s">
        <v>44</v>
      </c>
      <c r="C25" t="s">
        <v>45</v>
      </c>
      <c r="D25">
        <v>-7.4999999999999997E-2</v>
      </c>
      <c r="E25">
        <v>7.4999999999999997E-2</v>
      </c>
      <c r="F25">
        <v>-1.294</v>
      </c>
      <c r="G25" t="s">
        <v>17</v>
      </c>
    </row>
    <row r="26" spans="1:7">
      <c r="A26" t="s">
        <v>43</v>
      </c>
      <c r="B26" t="s">
        <v>44</v>
      </c>
      <c r="C26" t="s">
        <v>221</v>
      </c>
      <c r="D26">
        <v>-4.2999999999999997E-2</v>
      </c>
      <c r="E26">
        <v>4.2999999999999997E-2</v>
      </c>
      <c r="F26">
        <v>-0.57599999999999996</v>
      </c>
      <c r="G26" t="s">
        <v>17</v>
      </c>
    </row>
    <row r="27" spans="1:7">
      <c r="A27" t="s">
        <v>43</v>
      </c>
      <c r="B27" t="s">
        <v>44</v>
      </c>
      <c r="C27" t="s">
        <v>35</v>
      </c>
      <c r="D27">
        <v>8.0000000000000002E-3</v>
      </c>
      <c r="E27">
        <v>8.0000000000000002E-3</v>
      </c>
      <c r="F27">
        <v>0.121</v>
      </c>
      <c r="G27" t="s">
        <v>14</v>
      </c>
    </row>
    <row r="28" spans="1:7">
      <c r="A28" t="s">
        <v>218</v>
      </c>
      <c r="B28" t="s">
        <v>44</v>
      </c>
      <c r="C28" t="s">
        <v>12</v>
      </c>
      <c r="D28">
        <v>0.89300000000000002</v>
      </c>
      <c r="E28">
        <v>0.89300000000000002</v>
      </c>
      <c r="F28">
        <v>3.3000000000000002E-2</v>
      </c>
      <c r="G28" t="s">
        <v>14</v>
      </c>
    </row>
    <row r="29" spans="1:7">
      <c r="A29" t="s">
        <v>218</v>
      </c>
      <c r="B29" t="s">
        <v>44</v>
      </c>
      <c r="C29" t="s">
        <v>13</v>
      </c>
      <c r="D29">
        <v>0.16400000000000001</v>
      </c>
      <c r="E29">
        <v>0.16400000000000001</v>
      </c>
      <c r="F29">
        <v>4.1840000000000002</v>
      </c>
      <c r="G29" t="s">
        <v>14</v>
      </c>
    </row>
    <row r="30" spans="1:7">
      <c r="A30" t="s">
        <v>218</v>
      </c>
      <c r="B30" t="s">
        <v>44</v>
      </c>
      <c r="C30" t="s">
        <v>16</v>
      </c>
      <c r="D30">
        <v>0.13300000000000001</v>
      </c>
      <c r="E30">
        <v>0.13300000000000001</v>
      </c>
      <c r="F30">
        <v>3.1E-2</v>
      </c>
      <c r="G30" t="s">
        <v>14</v>
      </c>
    </row>
    <row r="31" spans="1:7">
      <c r="A31" t="s">
        <v>218</v>
      </c>
      <c r="B31" t="s">
        <v>44</v>
      </c>
      <c r="C31" t="s">
        <v>32</v>
      </c>
      <c r="D31">
        <v>7.9000000000000001E-2</v>
      </c>
      <c r="E31">
        <v>7.9000000000000001E-2</v>
      </c>
      <c r="F31">
        <v>1.675</v>
      </c>
      <c r="G31" t="s">
        <v>14</v>
      </c>
    </row>
    <row r="32" spans="1:7">
      <c r="A32" t="s">
        <v>218</v>
      </c>
      <c r="B32" t="s">
        <v>44</v>
      </c>
      <c r="C32" t="s">
        <v>45</v>
      </c>
      <c r="D32">
        <v>-6.3E-2</v>
      </c>
      <c r="E32">
        <v>6.3E-2</v>
      </c>
      <c r="F32">
        <v>-1.077</v>
      </c>
      <c r="G32" t="s">
        <v>17</v>
      </c>
    </row>
    <row r="33" spans="1:7">
      <c r="A33" t="s">
        <v>218</v>
      </c>
      <c r="B33" t="s">
        <v>44</v>
      </c>
      <c r="C33" t="s">
        <v>221</v>
      </c>
      <c r="D33">
        <v>-5.8000000000000003E-2</v>
      </c>
      <c r="E33">
        <v>5.8000000000000003E-2</v>
      </c>
      <c r="F33">
        <v>-0.77600000000000002</v>
      </c>
      <c r="G33" t="s">
        <v>17</v>
      </c>
    </row>
    <row r="34" spans="1:7">
      <c r="A34" t="s">
        <v>218</v>
      </c>
      <c r="B34" t="s">
        <v>44</v>
      </c>
      <c r="C34" t="s">
        <v>23</v>
      </c>
      <c r="D34">
        <v>4.5999999999999999E-2</v>
      </c>
      <c r="E34">
        <v>4.5999999999999999E-2</v>
      </c>
      <c r="F34">
        <v>6.0000000000000001E-3</v>
      </c>
      <c r="G34" t="s">
        <v>14</v>
      </c>
    </row>
    <row r="35" spans="1:7">
      <c r="A35" t="s">
        <v>218</v>
      </c>
      <c r="B35" t="s">
        <v>44</v>
      </c>
      <c r="C35" t="s">
        <v>26</v>
      </c>
      <c r="D35">
        <v>4.5999999999999999E-2</v>
      </c>
      <c r="E35">
        <v>4.5999999999999999E-2</v>
      </c>
      <c r="F35">
        <v>0.78200000000000003</v>
      </c>
      <c r="G35" t="s">
        <v>14</v>
      </c>
    </row>
    <row r="36" spans="1:7">
      <c r="A36" t="s">
        <v>218</v>
      </c>
      <c r="B36" t="s">
        <v>44</v>
      </c>
      <c r="C36" t="s">
        <v>29</v>
      </c>
      <c r="D36">
        <v>4.2999999999999997E-2</v>
      </c>
      <c r="E36">
        <v>4.2999999999999997E-2</v>
      </c>
      <c r="F36">
        <v>7.0000000000000001E-3</v>
      </c>
      <c r="G36" t="s">
        <v>14</v>
      </c>
    </row>
    <row r="37" spans="1:7">
      <c r="A37" t="s">
        <v>218</v>
      </c>
      <c r="B37" t="s">
        <v>44</v>
      </c>
      <c r="C37" t="s">
        <v>35</v>
      </c>
      <c r="D37">
        <v>-3.7999999999999999E-2</v>
      </c>
      <c r="E37">
        <v>3.7999999999999999E-2</v>
      </c>
      <c r="F37">
        <v>-0.55800000000000005</v>
      </c>
      <c r="G37" t="s">
        <v>17</v>
      </c>
    </row>
    <row r="38" spans="1:7">
      <c r="A38" t="s">
        <v>218</v>
      </c>
      <c r="B38" t="s">
        <v>44</v>
      </c>
      <c r="C38" t="s">
        <v>20</v>
      </c>
      <c r="D38">
        <v>-4.0000000000000001E-3</v>
      </c>
      <c r="E38">
        <v>4.0000000000000001E-3</v>
      </c>
      <c r="F38">
        <v>-5.7000000000000002E-2</v>
      </c>
      <c r="G38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"/>
  <sheetViews>
    <sheetView showGridLines="0" tabSelected="1" topLeftCell="H1" workbookViewId="0"/>
  </sheetViews>
  <sheetFormatPr baseColWidth="10" defaultColWidth="8.83203125" defaultRowHeight="15"/>
  <cols>
    <col min="1" max="1" width="11" customWidth="1"/>
    <col min="2" max="2" width="12.33203125" customWidth="1"/>
    <col min="3" max="3" width="6.6640625" customWidth="1"/>
    <col min="4" max="5" width="11.6640625" customWidth="1"/>
    <col min="6" max="6" width="12.83203125" customWidth="1"/>
    <col min="7" max="7" width="14.1640625" customWidth="1"/>
    <col min="8" max="8" width="12.83203125" customWidth="1"/>
    <col min="9" max="9" width="15.33203125" customWidth="1"/>
    <col min="10" max="10" width="17.83203125" customWidth="1"/>
    <col min="11" max="11" width="22.6640625" customWidth="1"/>
    <col min="12" max="12" width="20.1640625" customWidth="1"/>
    <col min="13" max="13" width="13.5" customWidth="1"/>
    <col min="14" max="14" width="10.5" customWidth="1"/>
    <col min="15" max="15" width="16" customWidth="1"/>
    <col min="16" max="16" width="15.33203125" customWidth="1"/>
    <col min="17" max="17" width="16.5" customWidth="1"/>
    <col min="18" max="18" width="15.33203125" customWidth="1"/>
    <col min="19" max="19" width="85.33203125" customWidth="1"/>
  </cols>
  <sheetData>
    <row r="1" spans="1:19" ht="32">
      <c r="A1" s="1" t="s">
        <v>6</v>
      </c>
      <c r="B1" s="1" t="s">
        <v>222</v>
      </c>
      <c r="C1" s="1" t="s">
        <v>172</v>
      </c>
      <c r="D1" s="1" t="s">
        <v>223</v>
      </c>
      <c r="E1" s="1" t="s">
        <v>224</v>
      </c>
      <c r="F1" s="1" t="s">
        <v>225</v>
      </c>
      <c r="G1" s="1" t="s">
        <v>175</v>
      </c>
      <c r="H1" s="1" t="s">
        <v>177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180</v>
      </c>
      <c r="N1" s="1" t="s">
        <v>181</v>
      </c>
      <c r="O1" s="1" t="s">
        <v>182</v>
      </c>
      <c r="P1" s="1" t="s">
        <v>179</v>
      </c>
      <c r="Q1" s="1" t="s">
        <v>230</v>
      </c>
      <c r="R1" s="1" t="s">
        <v>178</v>
      </c>
      <c r="S1" s="1" t="s">
        <v>185</v>
      </c>
    </row>
    <row r="2" spans="1:19">
      <c r="A2" t="s">
        <v>231</v>
      </c>
      <c r="B2" t="s">
        <v>232</v>
      </c>
      <c r="C2">
        <v>3</v>
      </c>
      <c r="D2">
        <v>598</v>
      </c>
      <c r="E2">
        <v>874</v>
      </c>
      <c r="F2">
        <v>717.7</v>
      </c>
      <c r="G2">
        <v>717.7</v>
      </c>
      <c r="H2">
        <v>26.3</v>
      </c>
      <c r="I2" t="s">
        <v>77</v>
      </c>
      <c r="J2" t="s">
        <v>79</v>
      </c>
      <c r="K2" t="s">
        <v>80</v>
      </c>
      <c r="L2" t="s">
        <v>116</v>
      </c>
      <c r="M2">
        <v>0</v>
      </c>
      <c r="N2">
        <v>0</v>
      </c>
      <c r="O2">
        <v>0</v>
      </c>
      <c r="P2">
        <v>112</v>
      </c>
      <c r="Q2">
        <v>109.3</v>
      </c>
      <c r="R2">
        <v>5.94</v>
      </c>
      <c r="S2" t="s">
        <v>188</v>
      </c>
    </row>
    <row r="3" spans="1:19">
      <c r="A3" t="s">
        <v>231</v>
      </c>
      <c r="B3" t="s">
        <v>233</v>
      </c>
      <c r="C3">
        <v>3</v>
      </c>
      <c r="D3">
        <v>85</v>
      </c>
      <c r="E3">
        <v>135</v>
      </c>
      <c r="F3">
        <v>113.7</v>
      </c>
      <c r="G3">
        <v>113.7</v>
      </c>
      <c r="H3">
        <v>5.3</v>
      </c>
      <c r="I3" t="s">
        <v>77</v>
      </c>
      <c r="J3" t="s">
        <v>79</v>
      </c>
      <c r="K3" t="s">
        <v>80</v>
      </c>
      <c r="L3" t="s">
        <v>168</v>
      </c>
      <c r="M3">
        <v>33.299999999999997</v>
      </c>
      <c r="N3">
        <v>0</v>
      </c>
      <c r="O3">
        <v>33.299999999999997</v>
      </c>
      <c r="P3">
        <v>137.30000000000001</v>
      </c>
      <c r="Q3">
        <v>65.7</v>
      </c>
      <c r="R3">
        <v>10.1</v>
      </c>
      <c r="S3" t="s">
        <v>234</v>
      </c>
    </row>
    <row r="4" spans="1:19">
      <c r="A4" t="s">
        <v>235</v>
      </c>
      <c r="B4" t="s">
        <v>232</v>
      </c>
      <c r="C4">
        <v>3</v>
      </c>
      <c r="D4">
        <v>22</v>
      </c>
      <c r="E4">
        <v>35</v>
      </c>
      <c r="F4">
        <v>26.3</v>
      </c>
      <c r="G4">
        <v>717.7</v>
      </c>
      <c r="H4">
        <v>26.3</v>
      </c>
      <c r="I4" t="s">
        <v>77</v>
      </c>
      <c r="J4" t="s">
        <v>79</v>
      </c>
      <c r="K4" t="s">
        <v>80</v>
      </c>
      <c r="L4" t="s">
        <v>116</v>
      </c>
      <c r="M4">
        <v>0</v>
      </c>
      <c r="N4">
        <v>0</v>
      </c>
      <c r="O4">
        <v>0</v>
      </c>
      <c r="P4">
        <v>112</v>
      </c>
      <c r="Q4">
        <v>109.3</v>
      </c>
      <c r="R4">
        <v>5.94</v>
      </c>
      <c r="S4" t="s">
        <v>188</v>
      </c>
    </row>
    <row r="5" spans="1:19">
      <c r="A5" t="s">
        <v>235</v>
      </c>
      <c r="B5" t="s">
        <v>233</v>
      </c>
      <c r="C5">
        <v>3</v>
      </c>
      <c r="D5">
        <v>4</v>
      </c>
      <c r="E5">
        <v>5</v>
      </c>
      <c r="F5">
        <v>4.7</v>
      </c>
      <c r="G5">
        <v>144.69999999999999</v>
      </c>
      <c r="H5">
        <v>4.7</v>
      </c>
      <c r="I5" t="s">
        <v>77</v>
      </c>
      <c r="J5" t="s">
        <v>79</v>
      </c>
      <c r="K5" t="s">
        <v>91</v>
      </c>
      <c r="L5" t="s">
        <v>116</v>
      </c>
      <c r="M5">
        <v>0</v>
      </c>
      <c r="N5">
        <v>0</v>
      </c>
      <c r="O5">
        <v>33.299999999999997</v>
      </c>
      <c r="P5">
        <v>154.30000000000001</v>
      </c>
      <c r="Q5">
        <v>60</v>
      </c>
      <c r="R5">
        <v>4.71</v>
      </c>
      <c r="S5" t="s">
        <v>236</v>
      </c>
    </row>
    <row r="7" spans="1:19">
      <c r="A7" s="5" t="s">
        <v>237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48">
      <c r="A8" s="1" t="s">
        <v>6</v>
      </c>
      <c r="B8" s="1" t="s">
        <v>222</v>
      </c>
      <c r="C8" s="1" t="s">
        <v>238</v>
      </c>
      <c r="D8" s="1" t="s">
        <v>53</v>
      </c>
      <c r="E8" s="1" t="s">
        <v>56</v>
      </c>
      <c r="F8" s="1" t="s">
        <v>239</v>
      </c>
      <c r="G8" s="1" t="s">
        <v>62</v>
      </c>
      <c r="H8" s="1" t="s">
        <v>63</v>
      </c>
      <c r="I8" s="1" t="s">
        <v>55</v>
      </c>
      <c r="J8" s="1" t="s">
        <v>57</v>
      </c>
      <c r="K8" s="1" t="s">
        <v>58</v>
      </c>
      <c r="L8" s="1" t="s">
        <v>60</v>
      </c>
      <c r="M8" s="1" t="s">
        <v>59</v>
      </c>
      <c r="N8" s="1" t="s">
        <v>70</v>
      </c>
      <c r="O8" s="1" t="s">
        <v>71</v>
      </c>
      <c r="P8" s="1" t="s">
        <v>65</v>
      </c>
      <c r="Q8" s="1" t="s">
        <v>72</v>
      </c>
      <c r="R8" s="1" t="s">
        <v>73</v>
      </c>
      <c r="S8" s="1" t="s">
        <v>74</v>
      </c>
    </row>
    <row r="9" spans="1:19">
      <c r="A9" t="s">
        <v>231</v>
      </c>
      <c r="B9" t="s">
        <v>232</v>
      </c>
      <c r="C9">
        <v>1</v>
      </c>
      <c r="D9" t="s">
        <v>165</v>
      </c>
      <c r="E9" t="s">
        <v>166</v>
      </c>
      <c r="F9">
        <v>874</v>
      </c>
      <c r="G9">
        <v>874</v>
      </c>
      <c r="H9">
        <v>35</v>
      </c>
      <c r="I9" t="s">
        <v>77</v>
      </c>
      <c r="J9" t="s">
        <v>79</v>
      </c>
      <c r="K9" t="s">
        <v>105</v>
      </c>
      <c r="L9" t="s">
        <v>168</v>
      </c>
      <c r="M9" t="s">
        <v>167</v>
      </c>
      <c r="N9">
        <v>82</v>
      </c>
      <c r="O9">
        <v>65</v>
      </c>
      <c r="P9">
        <v>11.43</v>
      </c>
      <c r="Q9">
        <v>0</v>
      </c>
      <c r="R9">
        <v>0</v>
      </c>
      <c r="S9">
        <v>0</v>
      </c>
    </row>
    <row r="10" spans="1:19">
      <c r="A10" t="s">
        <v>231</v>
      </c>
      <c r="B10" t="s">
        <v>232</v>
      </c>
      <c r="C10">
        <v>2</v>
      </c>
      <c r="D10" t="s">
        <v>113</v>
      </c>
      <c r="E10" t="s">
        <v>114</v>
      </c>
      <c r="F10">
        <v>681</v>
      </c>
      <c r="G10">
        <v>681</v>
      </c>
      <c r="H10">
        <v>22</v>
      </c>
      <c r="I10" t="s">
        <v>77</v>
      </c>
      <c r="J10" t="s">
        <v>79</v>
      </c>
      <c r="K10" t="s">
        <v>80</v>
      </c>
      <c r="L10" t="s">
        <v>116</v>
      </c>
      <c r="M10" t="s">
        <v>115</v>
      </c>
      <c r="N10">
        <v>147</v>
      </c>
      <c r="O10">
        <v>57</v>
      </c>
      <c r="P10">
        <v>0.95</v>
      </c>
      <c r="Q10">
        <v>0</v>
      </c>
      <c r="R10">
        <v>0</v>
      </c>
      <c r="S10">
        <v>0</v>
      </c>
    </row>
    <row r="11" spans="1:19">
      <c r="A11" t="s">
        <v>231</v>
      </c>
      <c r="B11" t="s">
        <v>232</v>
      </c>
      <c r="C11">
        <v>3</v>
      </c>
      <c r="D11" t="s">
        <v>154</v>
      </c>
      <c r="E11" t="s">
        <v>156</v>
      </c>
      <c r="F11">
        <v>598</v>
      </c>
      <c r="G11">
        <v>598</v>
      </c>
      <c r="H11">
        <v>22</v>
      </c>
      <c r="I11" t="s">
        <v>77</v>
      </c>
      <c r="J11" t="s">
        <v>79</v>
      </c>
      <c r="K11" t="s">
        <v>80</v>
      </c>
      <c r="L11" t="s">
        <v>116</v>
      </c>
      <c r="M11" t="s">
        <v>115</v>
      </c>
      <c r="N11">
        <v>107</v>
      </c>
      <c r="O11">
        <v>206</v>
      </c>
      <c r="P11">
        <v>5.4290719000000003</v>
      </c>
      <c r="Q11">
        <v>0</v>
      </c>
      <c r="R11">
        <v>0</v>
      </c>
      <c r="S11">
        <v>0</v>
      </c>
    </row>
    <row r="12" spans="1:19">
      <c r="A12" t="s">
        <v>231</v>
      </c>
      <c r="B12" t="s">
        <v>233</v>
      </c>
      <c r="C12">
        <v>1</v>
      </c>
      <c r="D12" t="s">
        <v>169</v>
      </c>
      <c r="E12" t="s">
        <v>170</v>
      </c>
      <c r="F12">
        <v>85</v>
      </c>
      <c r="G12">
        <v>85</v>
      </c>
      <c r="H12">
        <v>7</v>
      </c>
      <c r="I12" t="s">
        <v>85</v>
      </c>
      <c r="J12" t="s">
        <v>79</v>
      </c>
      <c r="K12" t="s">
        <v>80</v>
      </c>
      <c r="L12" t="s">
        <v>168</v>
      </c>
      <c r="M12" t="s">
        <v>171</v>
      </c>
      <c r="N12">
        <v>129</v>
      </c>
      <c r="O12">
        <v>70</v>
      </c>
      <c r="P12">
        <v>20.45</v>
      </c>
      <c r="Q12">
        <v>1</v>
      </c>
      <c r="R12">
        <v>0</v>
      </c>
      <c r="S12">
        <v>0</v>
      </c>
    </row>
    <row r="13" spans="1:19">
      <c r="A13" t="s">
        <v>231</v>
      </c>
      <c r="B13" t="s">
        <v>233</v>
      </c>
      <c r="C13">
        <v>2</v>
      </c>
      <c r="D13" t="s">
        <v>108</v>
      </c>
      <c r="E13" t="s">
        <v>109</v>
      </c>
      <c r="F13">
        <v>121</v>
      </c>
      <c r="G13">
        <v>121</v>
      </c>
      <c r="H13">
        <v>5</v>
      </c>
      <c r="I13" t="s">
        <v>77</v>
      </c>
      <c r="J13" t="s">
        <v>97</v>
      </c>
      <c r="K13" t="s">
        <v>91</v>
      </c>
      <c r="L13" t="s">
        <v>111</v>
      </c>
      <c r="M13" t="s">
        <v>110</v>
      </c>
      <c r="N13">
        <v>168</v>
      </c>
      <c r="O13">
        <v>67</v>
      </c>
      <c r="P13">
        <v>3.3707864999999995</v>
      </c>
      <c r="Q13">
        <v>0</v>
      </c>
      <c r="R13">
        <v>0</v>
      </c>
      <c r="S13">
        <v>1</v>
      </c>
    </row>
    <row r="14" spans="1:19">
      <c r="A14" t="s">
        <v>231</v>
      </c>
      <c r="B14" t="s">
        <v>233</v>
      </c>
      <c r="C14">
        <v>3</v>
      </c>
      <c r="D14" t="s">
        <v>120</v>
      </c>
      <c r="E14" t="s">
        <v>121</v>
      </c>
      <c r="F14">
        <v>135</v>
      </c>
      <c r="G14">
        <v>135</v>
      </c>
      <c r="H14">
        <v>4</v>
      </c>
      <c r="I14" t="s">
        <v>77</v>
      </c>
      <c r="J14" t="s">
        <v>79</v>
      </c>
      <c r="K14" t="s">
        <v>80</v>
      </c>
      <c r="L14" t="s">
        <v>82</v>
      </c>
      <c r="M14" t="s">
        <v>81</v>
      </c>
      <c r="N14">
        <v>115</v>
      </c>
      <c r="O14">
        <v>60</v>
      </c>
      <c r="P14">
        <v>6.4935065999999999</v>
      </c>
      <c r="Q14">
        <v>0</v>
      </c>
      <c r="R14">
        <v>0</v>
      </c>
      <c r="S14">
        <v>0</v>
      </c>
    </row>
    <row r="15" spans="1:19">
      <c r="A15" t="s">
        <v>235</v>
      </c>
      <c r="B15" t="s">
        <v>232</v>
      </c>
      <c r="C15">
        <v>1</v>
      </c>
      <c r="D15" t="s">
        <v>165</v>
      </c>
      <c r="E15" t="s">
        <v>166</v>
      </c>
      <c r="F15">
        <v>35</v>
      </c>
      <c r="G15">
        <v>874</v>
      </c>
      <c r="H15">
        <v>35</v>
      </c>
      <c r="I15" t="s">
        <v>77</v>
      </c>
      <c r="J15" t="s">
        <v>79</v>
      </c>
      <c r="K15" t="s">
        <v>105</v>
      </c>
      <c r="L15" t="s">
        <v>168</v>
      </c>
      <c r="M15" t="s">
        <v>167</v>
      </c>
      <c r="N15">
        <v>82</v>
      </c>
      <c r="O15">
        <v>65</v>
      </c>
      <c r="P15">
        <v>11.43</v>
      </c>
      <c r="Q15">
        <v>0</v>
      </c>
      <c r="R15">
        <v>0</v>
      </c>
      <c r="S15">
        <v>0</v>
      </c>
    </row>
    <row r="16" spans="1:19">
      <c r="A16" t="s">
        <v>235</v>
      </c>
      <c r="B16" t="s">
        <v>232</v>
      </c>
      <c r="C16">
        <v>2</v>
      </c>
      <c r="D16" t="s">
        <v>113</v>
      </c>
      <c r="E16" t="s">
        <v>114</v>
      </c>
      <c r="F16">
        <v>22</v>
      </c>
      <c r="G16">
        <v>681</v>
      </c>
      <c r="H16">
        <v>22</v>
      </c>
      <c r="I16" t="s">
        <v>77</v>
      </c>
      <c r="J16" t="s">
        <v>79</v>
      </c>
      <c r="K16" t="s">
        <v>80</v>
      </c>
      <c r="L16" t="s">
        <v>116</v>
      </c>
      <c r="M16" t="s">
        <v>115</v>
      </c>
      <c r="N16">
        <v>147</v>
      </c>
      <c r="O16">
        <v>57</v>
      </c>
      <c r="P16">
        <v>0.95</v>
      </c>
      <c r="Q16">
        <v>0</v>
      </c>
      <c r="R16">
        <v>0</v>
      </c>
      <c r="S16">
        <v>0</v>
      </c>
    </row>
    <row r="17" spans="1:19">
      <c r="A17" t="s">
        <v>235</v>
      </c>
      <c r="B17" t="s">
        <v>232</v>
      </c>
      <c r="C17">
        <v>3</v>
      </c>
      <c r="D17" t="s">
        <v>154</v>
      </c>
      <c r="E17" t="s">
        <v>156</v>
      </c>
      <c r="F17">
        <v>22</v>
      </c>
      <c r="G17">
        <v>598</v>
      </c>
      <c r="H17">
        <v>22</v>
      </c>
      <c r="I17" t="s">
        <v>77</v>
      </c>
      <c r="J17" t="s">
        <v>79</v>
      </c>
      <c r="K17" t="s">
        <v>80</v>
      </c>
      <c r="L17" t="s">
        <v>116</v>
      </c>
      <c r="M17" t="s">
        <v>115</v>
      </c>
      <c r="N17">
        <v>107</v>
      </c>
      <c r="O17">
        <v>206</v>
      </c>
      <c r="P17">
        <v>5.4290719000000003</v>
      </c>
      <c r="Q17">
        <v>0</v>
      </c>
      <c r="R17">
        <v>0</v>
      </c>
      <c r="S17">
        <v>0</v>
      </c>
    </row>
    <row r="18" spans="1:19">
      <c r="A18" t="s">
        <v>235</v>
      </c>
      <c r="B18" t="s">
        <v>233</v>
      </c>
      <c r="C18">
        <v>1</v>
      </c>
      <c r="D18" t="s">
        <v>120</v>
      </c>
      <c r="E18" t="s">
        <v>121</v>
      </c>
      <c r="F18">
        <v>4</v>
      </c>
      <c r="G18">
        <v>135</v>
      </c>
      <c r="H18">
        <v>4</v>
      </c>
      <c r="I18" t="s">
        <v>77</v>
      </c>
      <c r="J18" t="s">
        <v>79</v>
      </c>
      <c r="K18" t="s">
        <v>80</v>
      </c>
      <c r="L18" t="s">
        <v>82</v>
      </c>
      <c r="M18" t="s">
        <v>81</v>
      </c>
      <c r="N18">
        <v>115</v>
      </c>
      <c r="O18">
        <v>60</v>
      </c>
      <c r="P18">
        <v>6.4935065999999999</v>
      </c>
      <c r="Q18">
        <v>0</v>
      </c>
      <c r="R18">
        <v>0</v>
      </c>
      <c r="S18">
        <v>0</v>
      </c>
    </row>
    <row r="19" spans="1:19">
      <c r="A19" t="s">
        <v>235</v>
      </c>
      <c r="B19" t="s">
        <v>233</v>
      </c>
      <c r="C19">
        <v>2</v>
      </c>
      <c r="D19" t="s">
        <v>108</v>
      </c>
      <c r="E19" t="s">
        <v>109</v>
      </c>
      <c r="F19">
        <v>5</v>
      </c>
      <c r="G19">
        <v>121</v>
      </c>
      <c r="H19">
        <v>5</v>
      </c>
      <c r="I19" t="s">
        <v>77</v>
      </c>
      <c r="J19" t="s">
        <v>97</v>
      </c>
      <c r="K19" t="s">
        <v>91</v>
      </c>
      <c r="L19" t="s">
        <v>111</v>
      </c>
      <c r="M19" t="s">
        <v>110</v>
      </c>
      <c r="N19">
        <v>168</v>
      </c>
      <c r="O19">
        <v>67</v>
      </c>
      <c r="P19">
        <v>3.3707864999999995</v>
      </c>
      <c r="Q19">
        <v>0</v>
      </c>
      <c r="R19">
        <v>0</v>
      </c>
      <c r="S19">
        <v>1</v>
      </c>
    </row>
    <row r="20" spans="1:19">
      <c r="A20" t="s">
        <v>235</v>
      </c>
      <c r="B20" t="s">
        <v>233</v>
      </c>
      <c r="C20">
        <v>3</v>
      </c>
      <c r="D20" t="s">
        <v>124</v>
      </c>
      <c r="E20" t="s">
        <v>125</v>
      </c>
      <c r="F20">
        <v>5</v>
      </c>
      <c r="G20">
        <v>178</v>
      </c>
      <c r="H20">
        <v>5</v>
      </c>
      <c r="I20" t="s">
        <v>77</v>
      </c>
      <c r="J20" t="s">
        <v>79</v>
      </c>
      <c r="K20" t="s">
        <v>105</v>
      </c>
      <c r="L20" t="s">
        <v>116</v>
      </c>
      <c r="M20" t="s">
        <v>115</v>
      </c>
      <c r="N20">
        <v>180</v>
      </c>
      <c r="O20">
        <v>53</v>
      </c>
      <c r="P20">
        <v>4.26</v>
      </c>
      <c r="Q20">
        <v>0</v>
      </c>
      <c r="R20">
        <v>0</v>
      </c>
      <c r="S20">
        <v>0</v>
      </c>
    </row>
  </sheetData>
  <mergeCells count="1">
    <mergeCell ref="A7:S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showGridLines="0" workbookViewId="0"/>
  </sheetViews>
  <sheetFormatPr baseColWidth="10" defaultColWidth="8.83203125" defaultRowHeight="15"/>
  <cols>
    <col min="1" max="1" width="20.1640625" customWidth="1"/>
    <col min="2" max="2" width="6.6640625" customWidth="1"/>
    <col min="3" max="3" width="14.1640625" customWidth="1"/>
    <col min="4" max="4" width="12.83203125" customWidth="1"/>
    <col min="5" max="5" width="15.33203125" customWidth="1"/>
  </cols>
  <sheetData>
    <row r="1" spans="1:5" ht="32">
      <c r="A1" s="1" t="s">
        <v>57</v>
      </c>
      <c r="B1" s="1" t="s">
        <v>172</v>
      </c>
      <c r="C1" s="1" t="s">
        <v>175</v>
      </c>
      <c r="D1" s="1" t="s">
        <v>177</v>
      </c>
      <c r="E1" s="1" t="s">
        <v>178</v>
      </c>
    </row>
    <row r="2" spans="1:5">
      <c r="A2" t="s">
        <v>79</v>
      </c>
      <c r="B2">
        <v>26</v>
      </c>
      <c r="C2">
        <v>278</v>
      </c>
      <c r="D2">
        <v>9.4</v>
      </c>
      <c r="E2">
        <v>7.8</v>
      </c>
    </row>
    <row r="3" spans="1:5">
      <c r="A3" t="s">
        <v>97</v>
      </c>
      <c r="B3">
        <v>4</v>
      </c>
      <c r="C3">
        <v>155.5</v>
      </c>
      <c r="D3">
        <v>8.5</v>
      </c>
      <c r="E3">
        <v>6.8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showGridLines="0" workbookViewId="0"/>
  </sheetViews>
  <sheetFormatPr baseColWidth="10" defaultColWidth="8.83203125" defaultRowHeight="15"/>
  <cols>
    <col min="1" max="1" width="22.6640625" customWidth="1"/>
    <col min="2" max="2" width="6.6640625" customWidth="1"/>
    <col min="3" max="3" width="14.1640625" customWidth="1"/>
    <col min="4" max="4" width="12.83203125" customWidth="1"/>
    <col min="5" max="5" width="15.33203125" customWidth="1"/>
  </cols>
  <sheetData>
    <row r="1" spans="1:5" ht="32">
      <c r="A1" s="1" t="s">
        <v>58</v>
      </c>
      <c r="B1" s="1" t="s">
        <v>172</v>
      </c>
      <c r="C1" s="1" t="s">
        <v>175</v>
      </c>
      <c r="D1" s="1" t="s">
        <v>177</v>
      </c>
      <c r="E1" s="1" t="s">
        <v>178</v>
      </c>
    </row>
    <row r="2" spans="1:5">
      <c r="A2" t="s">
        <v>80</v>
      </c>
      <c r="B2">
        <v>12</v>
      </c>
      <c r="C2">
        <v>274.5</v>
      </c>
      <c r="D2">
        <v>9.5</v>
      </c>
      <c r="E2">
        <v>7.6</v>
      </c>
    </row>
    <row r="3" spans="1:5">
      <c r="A3" t="s">
        <v>105</v>
      </c>
      <c r="B3">
        <v>8</v>
      </c>
      <c r="C3">
        <v>327.3</v>
      </c>
      <c r="D3">
        <v>11.1</v>
      </c>
      <c r="E3">
        <v>10.3</v>
      </c>
    </row>
    <row r="4" spans="1:5">
      <c r="A4" t="s">
        <v>91</v>
      </c>
      <c r="B4">
        <v>6</v>
      </c>
      <c r="C4">
        <v>170.7</v>
      </c>
      <c r="D4">
        <v>7.7</v>
      </c>
      <c r="E4">
        <v>7.3</v>
      </c>
    </row>
    <row r="5" spans="1:5">
      <c r="A5" t="s">
        <v>101</v>
      </c>
      <c r="B5">
        <v>4</v>
      </c>
      <c r="C5">
        <v>228.8</v>
      </c>
      <c r="D5">
        <v>7.3</v>
      </c>
      <c r="E5">
        <v>3.2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showGridLines="0" workbookViewId="0"/>
  </sheetViews>
  <sheetFormatPr baseColWidth="10" defaultColWidth="8.83203125" defaultRowHeight="15"/>
  <cols>
    <col min="1" max="1" width="11.6640625" customWidth="1"/>
    <col min="2" max="2" width="52.1640625" customWidth="1"/>
    <col min="3" max="3" width="28.83203125" customWidth="1"/>
    <col min="4" max="4" width="11.6640625" customWidth="1"/>
    <col min="5" max="5" width="10.5" customWidth="1"/>
    <col min="6" max="6" width="63.1640625" customWidth="1"/>
  </cols>
  <sheetData>
    <row r="1" spans="1:6" ht="16">
      <c r="A1" s="1" t="s">
        <v>53</v>
      </c>
      <c r="B1" s="1" t="s">
        <v>56</v>
      </c>
      <c r="C1" s="1" t="s">
        <v>59</v>
      </c>
      <c r="D1" s="1" t="s">
        <v>62</v>
      </c>
      <c r="E1" s="1" t="s">
        <v>63</v>
      </c>
      <c r="F1" s="1" t="s">
        <v>240</v>
      </c>
    </row>
    <row r="2" spans="1:6">
      <c r="A2" t="s">
        <v>241</v>
      </c>
      <c r="B2" t="s">
        <v>242</v>
      </c>
      <c r="C2" t="s">
        <v>243</v>
      </c>
      <c r="D2">
        <v>221</v>
      </c>
      <c r="E2">
        <v>1</v>
      </c>
      <c r="F2" t="s">
        <v>244</v>
      </c>
    </row>
    <row r="3" spans="1:6">
      <c r="A3" t="s">
        <v>245</v>
      </c>
      <c r="B3" t="s">
        <v>246</v>
      </c>
      <c r="C3" t="s">
        <v>247</v>
      </c>
      <c r="D3">
        <v>862</v>
      </c>
      <c r="E3">
        <v>13</v>
      </c>
      <c r="F3" t="s">
        <v>244</v>
      </c>
    </row>
    <row r="4" spans="1:6">
      <c r="A4" t="s">
        <v>245</v>
      </c>
      <c r="B4" t="s">
        <v>248</v>
      </c>
      <c r="C4" t="s">
        <v>243</v>
      </c>
      <c r="D4">
        <v>583</v>
      </c>
      <c r="E4">
        <v>9</v>
      </c>
      <c r="F4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showGridLines="0" workbookViewId="0"/>
  </sheetViews>
  <sheetFormatPr baseColWidth="10" defaultColWidth="8.83203125" defaultRowHeight="15"/>
  <cols>
    <col min="1" max="1" width="28.83203125" customWidth="1"/>
    <col min="2" max="2" width="109.83203125" customWidth="1"/>
  </cols>
  <sheetData>
    <row r="1" spans="1:2" ht="16">
      <c r="A1" s="1" t="s">
        <v>249</v>
      </c>
      <c r="B1" s="1" t="s">
        <v>250</v>
      </c>
    </row>
    <row r="2" spans="1:2">
      <c r="A2" t="s">
        <v>251</v>
      </c>
      <c r="B2" t="s">
        <v>252</v>
      </c>
    </row>
    <row r="3" spans="1:2">
      <c r="A3" t="s">
        <v>253</v>
      </c>
      <c r="B3" t="s">
        <v>254</v>
      </c>
    </row>
    <row r="4" spans="1:2">
      <c r="A4" t="s">
        <v>255</v>
      </c>
      <c r="B4" t="s">
        <v>256</v>
      </c>
    </row>
    <row r="5" spans="1:2">
      <c r="A5" t="s">
        <v>257</v>
      </c>
      <c r="B5" t="s">
        <v>258</v>
      </c>
    </row>
    <row r="6" spans="1:2">
      <c r="A6" t="s">
        <v>259</v>
      </c>
      <c r="B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Resumo</vt:lpstr>
      <vt:lpstr>Dados limpos</vt:lpstr>
      <vt:lpstr>Clusters de impressões</vt:lpstr>
      <vt:lpstr>Crescimento</vt:lpstr>
      <vt:lpstr>Regressão</vt:lpstr>
      <vt:lpstr>Top e piores 10%</vt:lpstr>
      <vt:lpstr>Resumo de ganchos</vt:lpstr>
      <vt:lpstr>Resumo de consciência</vt:lpstr>
      <vt:lpstr>Posts excluídos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Loureiro Sandim De Almeida</cp:lastModifiedBy>
  <dcterms:created xsi:type="dcterms:W3CDTF">2026-05-01T14:24:59Z</dcterms:created>
  <dcterms:modified xsi:type="dcterms:W3CDTF">2026-05-01T14:24:59Z</dcterms:modified>
</cp:coreProperties>
</file>