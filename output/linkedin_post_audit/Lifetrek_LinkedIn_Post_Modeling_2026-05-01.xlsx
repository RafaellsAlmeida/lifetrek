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afaelalmeida/lifetrek/output/linkedin_post_audit/"/>
    </mc:Choice>
  </mc:AlternateContent>
  <xr:revisionPtr revIDLastSave="0" documentId="13_ncr:1_{19529E82-95B4-F344-A19C-AFD2AF0643E9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Summary" sheetId="1" r:id="rId1"/>
    <sheet name="Clean Data" sheetId="2" r:id="rId2"/>
    <sheet name="Impression Clusters" sheetId="3" r:id="rId3"/>
    <sheet name="Growth Trend" sheetId="4" r:id="rId4"/>
    <sheet name="Regression" sheetId="5" r:id="rId5"/>
    <sheet name="Notes" sheetId="6" r:id="rId6"/>
  </sheets>
  <calcPr calcId="0"/>
</workbook>
</file>

<file path=xl/sharedStrings.xml><?xml version="1.0" encoding="utf-8"?>
<sst xmlns="http://schemas.openxmlformats.org/spreadsheetml/2006/main" count="769" uniqueCount="229">
  <si>
    <t>Lifetrek LinkedIn Post Modeling</t>
  </si>
  <si>
    <t>Target variables: current LinkedIn admin impressions and reactions. Updated 2026-05-01.</t>
  </si>
  <si>
    <t>Top standardized factors for impressions</t>
  </si>
  <si>
    <t>item</t>
  </si>
  <si>
    <t>finding</t>
  </si>
  <si>
    <t>model</t>
  </si>
  <si>
    <t>target</t>
  </si>
  <si>
    <t>feature</t>
  </si>
  <si>
    <t>standardized_beta</t>
  </si>
  <si>
    <t>direction</t>
  </si>
  <si>
    <t>Posts modeled</t>
  </si>
  <si>
    <t>impressions_content_time</t>
  </si>
  <si>
    <t>impressions</t>
  </si>
  <si>
    <t>topic_Operations / Capacity</t>
  </si>
  <si>
    <t>positive</t>
  </si>
  <si>
    <t>Posts excluded from impression model</t>
  </si>
  <si>
    <t>topic_Institutional / Recruiting</t>
  </si>
  <si>
    <t>High-impression cluster</t>
  </si>
  <si>
    <t>6 posts; avg 683 impressions; avg 19.3 reactions</t>
  </si>
  <si>
    <t>topic_Metrology / Validation</t>
  </si>
  <si>
    <t>Top-cluster pattern</t>
  </si>
  <si>
    <t>Statement hooks, no carousels, over-indexing in Operations/Capacity, Institutional/Recruiting, and Metrology/Validation.</t>
  </si>
  <si>
    <t>days_since_start</t>
  </si>
  <si>
    <t>negative</t>
  </si>
  <si>
    <t>Impression growth over time</t>
  </si>
  <si>
    <t>-4.05 impressions/week; R2 0.009.</t>
  </si>
  <si>
    <t>is_carousel</t>
  </si>
  <si>
    <t>Reaction growth over time</t>
  </si>
  <si>
    <t>0.39 reactions/week; R2 0.089.</t>
  </si>
  <si>
    <t>hook_is_question</t>
  </si>
  <si>
    <t>Impressions regression</t>
  </si>
  <si>
    <t>Content/time model R2 0.391; adjusted R2 0.038.</t>
  </si>
  <si>
    <t>awareness_Solution-aware</t>
  </si>
  <si>
    <t>Reactions regression</t>
  </si>
  <si>
    <t>Content/time model R2 0.428; adjusted R2 0.097.</t>
  </si>
  <si>
    <t>hook_length_chars</t>
  </si>
  <si>
    <t>Reactions exposure model</t>
  </si>
  <si>
    <t>Adding impressions raises reaction model R2 to 0.921; adjusted R2 0.868.</t>
  </si>
  <si>
    <t>Top standardized factors for reactions</t>
  </si>
  <si>
    <t>reactions_content_time</t>
  </si>
  <si>
    <t>reactions</t>
  </si>
  <si>
    <t>date</t>
  </si>
  <si>
    <t>month</t>
  </si>
  <si>
    <t>post_format_clean</t>
  </si>
  <si>
    <t>hook</t>
  </si>
  <si>
    <t>hook_category</t>
  </si>
  <si>
    <t>awareness_stage</t>
  </si>
  <si>
    <t>topic_category</t>
  </si>
  <si>
    <t>topic_group</t>
  </si>
  <si>
    <t>impression_cluster</t>
  </si>
  <si>
    <t>clicks_export</t>
  </si>
  <si>
    <t>ctr_export_pct</t>
  </si>
  <si>
    <t>reposts_current</t>
  </si>
  <si>
    <t>video_views_current</t>
  </si>
  <si>
    <t>impressions_export</t>
  </si>
  <si>
    <t>reactions_export</t>
  </si>
  <si>
    <t>caption_word_count</t>
  </si>
  <si>
    <t>is_video</t>
  </si>
  <si>
    <t>11/25/25</t>
  </si>
  <si>
    <t>10/31/25</t>
  </si>
  <si>
    <t>Image</t>
  </si>
  <si>
    <t>Rafael Bianchini Rafael Bianchini</t>
  </si>
  <si>
    <t>Statement</t>
  </si>
  <si>
    <t>Most aware</t>
  </si>
  <si>
    <t>Talent / Recruiting</t>
  </si>
  <si>
    <t>Institutional / Recruiting</t>
  </si>
  <si>
    <t>Low impressions</t>
  </si>
  <si>
    <t>1/8/26</t>
  </si>
  <si>
    <t>12/31/25</t>
  </si>
  <si>
    <t>Nosso site estÃ¡ no ar https://lnkd.in/dVeHqN6m</t>
  </si>
  <si>
    <t>Institutional / Website Launch</t>
  </si>
  <si>
    <t>High impressions</t>
  </si>
  <si>
    <t>Text/Unknown</t>
  </si>
  <si>
    <t>VAGA DE EMPREGO NA LIFETREK MEDICAL</t>
  </si>
  <si>
    <t>1/20/26</t>
  </si>
  <si>
    <t>O CAD aceita tudo. A mÃ¡quina, nÃ£o.</t>
  </si>
  <si>
    <t>Product-aware</t>
  </si>
  <si>
    <t>DFM / Manufacturability</t>
  </si>
  <si>
    <t>Prototype / DFM</t>
  </si>
  <si>
    <t>Mid impressions</t>
  </si>
  <si>
    <t>1/21/26</t>
  </si>
  <si>
    <t>Carousel</t>
  </si>
  <si>
    <t>Medicina personalizada nÃ£o Ã© mais slide de congresso â Ã© o desafio real batendo na porta do P&amp;D.</t>
  </si>
  <si>
    <t>Personalized Medicine</t>
  </si>
  <si>
    <t>Specialized Product</t>
  </si>
  <si>
    <t>1/22/26</t>
  </si>
  <si>
    <t>Em 2020/21 a cadeia global tremeu.</t>
  </si>
  <si>
    <t>Solution-aware</t>
  </si>
  <si>
    <t>Supply Chain / Local Manufacturing</t>
  </si>
  <si>
    <t>Supply Chain</t>
  </si>
  <si>
    <t>1/26/26</t>
  </si>
  <si>
    <t>A FÃ­sica por TrÃ¡s da ValidaÃ§Ã£o de Implantes: Por que 3D + CNC?</t>
  </si>
  <si>
    <t>Question</t>
  </si>
  <si>
    <t>Prototype-to-Scale / Industrialization</t>
  </si>
  <si>
    <t>1/27/26</t>
  </si>
  <si>
    <t>A transiÃ§Ã£o do protÃ³tipo para a produÃ§Ã£o em escala Ã© um dos momentos mais crÃ­ticos no desenvolvimento de um dispositivo mÃ©dico.</t>
  </si>
  <si>
    <t>2/4/26</t>
  </si>
  <si>
    <t>1/31/26</t>
  </si>
  <si>
    <t>VocÃª pode ter o melhor design e o material mais nobre.</t>
  </si>
  <si>
    <t>Problem-aware</t>
  </si>
  <si>
    <t>Cleanroom / Contamination Control</t>
  </si>
  <si>
    <t>Cleanroom</t>
  </si>
  <si>
    <t>2/10/26</t>
  </si>
  <si>
    <t>No seu P&amp;L, sustentabilidade Ã© custo extra ou vantagem competitiva?</t>
  </si>
  <si>
    <t>Sustainability / Manufacturing Efficiency</t>
  </si>
  <si>
    <t>Other</t>
  </si>
  <si>
    <t>Pureza nÃ£o Ã© um diferencial, Ã© um requisito regulatÃ³rio crÃ­tico.</t>
  </si>
  <si>
    <t>2/15/26</t>
  </si>
  <si>
    <t>Em dispositivos mÃ©dicos, âparece certoâ nÃ£o Ã© suficiente.</t>
  </si>
  <si>
    <t>Metrology / Dimensional Validation</t>
  </si>
  <si>
    <t>Metrology / Validation</t>
  </si>
  <si>
    <t>2/18/26</t>
  </si>
  <si>
    <t>"Tamanho Ãºnico" funciona bemâ¦ atÃ© deixar de funcionar.</t>
  </si>
  <si>
    <t>2/23/26</t>
  </si>
  <si>
    <t>ANVISA, FDA, ISO 13485, dossiÃªs, validaÃ§Ã£o, rastreabilidade.</t>
  </si>
  <si>
    <t>2/24/26</t>
  </si>
  <si>
    <t>Por trÃ¡s de todo dispositivo mÃ©dico que chega com seguranÃ§a ao paciente, existe uma cadeia silenciosa de fabricaÃ§Ã£o que nÃ£o pode falhar.</t>
  </si>
  <si>
    <t>2/25/26</t>
  </si>
  <si>
    <t>Na maioria das fÃ¡bricas, qualidade Ã© um departamento.</t>
  </si>
  <si>
    <t>2/26/26</t>
  </si>
  <si>
    <t>No papel, importar parece mais barato.</t>
  </si>
  <si>
    <t>Quality / Zero Defect</t>
  </si>
  <si>
    <t>Quality</t>
  </si>
  <si>
    <t>3/3/26</t>
  </si>
  <si>
    <t>2/28/26</t>
  </si>
  <si>
    <t>Em dispositivos mÃ©dicos, o maior desafio nÃ£o Ã© produzir o primeiro protÃ³tipo.</t>
  </si>
  <si>
    <t>3/4/26</t>
  </si>
  <si>
    <t>Em dispositivos mÃ©dicos, cada novo fornecedor adiciona um novo ponto de falha.</t>
  </si>
  <si>
    <t>3/9/26</t>
  </si>
  <si>
    <t>Video</t>
  </si>
  <si>
    <t>VocÃª jÃ¡ questionou se uma sala limpa ISO 7 no Brasil consegue realmente competir com o padrÃ£o das plantas europeias que vocÃª visita?</t>
  </si>
  <si>
    <t>No current impressions</t>
  </si>
  <si>
    <t>3/11/26</t>
  </si>
  <si>
    <t>Em implantes com geometria complexa, o problema muitas vezes nÃ£o estÃ¡ no CAD, mas na quantidade de setups atÃ© a peÃ§a final.</t>
  </si>
  <si>
    <t>3/12/26</t>
  </si>
  <si>
    <t>Em dispositivos mÃ©dicos, UDI nÃ£o Ã© sÃ³ um cÃ³digo. Ã o que conecta um evento adverso de volta ao fabricante, ao lote e ao paciente certo.</t>
  </si>
  <si>
    <t>Regulatory Traceability / UDI</t>
  </si>
  <si>
    <t>3/16/26</t>
  </si>
  <si>
    <t>As decisÃµes de sourcing que vocÃª toma hoje definirÃ£o sua competitividade em 2026.</t>
  </si>
  <si>
    <t>3/17/26</t>
  </si>
  <si>
    <t>Port-a-cath: Engenharia Nacional Atendendo a uma Demanda CrÃ­tica.</t>
  </si>
  <si>
    <t>Port-a-cath / Implantable Devices</t>
  </si>
  <si>
    <t>3/19/26</t>
  </si>
  <si>
    <t>Onde a engenharia encontra a perfeiÃ§Ã£o. Cada mÃ­cron inspecionado Ã© um risco eliminado.</t>
  </si>
  <si>
    <t>3/20/26</t>
  </si>
  <si>
    <t>3/23/26</t>
  </si>
  <si>
    <t>Em um parafuso pedicular, fraÃ§Ãµes de milÃ­metro nÃ£o sÃ£o detalhe.</t>
  </si>
  <si>
    <t>4/1/26</t>
  </si>
  <si>
    <t>3/31/26</t>
  </si>
  <si>
    <t>Em dispositivos mÃ©dicos, o maior gargalo de qualidade nem sempre estÃ¡ na usinagem. Muitas vezes, ele aparece quando a amostra chega e falta evidÃªncia dimensional suficiente para sustentar a decisÃ£o tÃ©cnica.</t>
  </si>
  <si>
    <t>4/13/26</t>
  </si>
  <si>
    <t>FixaÃ§Ã£o de membranas: pinos ou parafusos?</t>
  </si>
  <si>
    <t>Product engineering tradeoff</t>
  </si>
  <si>
    <t>4/14/26</t>
  </si>
  <si>
    <t>Retrabalho nem sempre aparece como desvio aberto. Muitas vezes ele nasce na validacao dimensional mal amarrada ao processo.</t>
  </si>
  <si>
    <t>Dimensional validation / metrology</t>
  </si>
  <si>
    <t>4/16/26</t>
  </si>
  <si>
    <t>Na manufatura de dispositivos mÃ©dicos, precisÃ£o nÃ£o Ã© evento de inspeÃ§Ã£o final.</t>
  </si>
  <si>
    <t>4/19/26</t>
  </si>
  <si>
    <t>Na manufatura mÃ©dica, capacidade produtiva nÃ£o Ã© sÃ³ ter mÃ¡quinas.</t>
  </si>
  <si>
    <t>Capacity / predictable manufacturing</t>
  </si>
  <si>
    <t>Operations / Capacity</t>
  </si>
  <si>
    <t>4/23/26</t>
  </si>
  <si>
    <t>Em kits cirÃºrgicos OEM, cada novo fornecedor Ã© mais um ponto de falha:</t>
  </si>
  <si>
    <t>Integrated OEM kits / supplier-risk reduction</t>
  </si>
  <si>
    <t>posts</t>
  </si>
  <si>
    <t>impressions_min</t>
  </si>
  <si>
    <t>impressions_max</t>
  </si>
  <si>
    <t>avg_impressions</t>
  </si>
  <si>
    <t>median_impressions</t>
  </si>
  <si>
    <t>avg_reactions</t>
  </si>
  <si>
    <t>avg_ctr_export_pct</t>
  </si>
  <si>
    <t>avg_caption_word_count</t>
  </si>
  <si>
    <t>share_carousel</t>
  </si>
  <si>
    <t>share_video</t>
  </si>
  <si>
    <t>share_question_hook</t>
  </si>
  <si>
    <t>top_awareness_stage</t>
  </si>
  <si>
    <t>top_topic_group</t>
  </si>
  <si>
    <t>sample_hooks</t>
  </si>
  <si>
    <t>Na manufatura de dispositivos mÃ©dicos, precisÃ£o nÃ£o Ã© evento de inspeÃ§Ã£o final. | Rafael Bianchini Rafael Bianchini | Pureza nÃ£o Ã© um diferencial, Ã© um requisito regulatÃ³rio crÃ­tico.</t>
  </si>
  <si>
    <t>A FÃ­sica por TrÃ¡s da ValidaÃ§Ã£o de Implantes: Por que 3D + CNC? | Port-a-cath: Engenharia Nacional Atendendo a uma Demanda CrÃ­tica. | VocÃª pode ter o melhor design e o material mais nobre.</t>
  </si>
  <si>
    <t>Na manufatura mÃ©dica, capacidade produtiva nÃ£o Ã© sÃ³ ter mÃ¡quinas. | Nosso site estÃ¡ no ar https://lnkd.in/dVeHqN6m | Em dispositivos mÃ©dicos, âparece certoâ nÃ£o Ã© suficiente.</t>
  </si>
  <si>
    <t>value</t>
  </si>
  <si>
    <t>high_cluster_share</t>
  </si>
  <si>
    <t>rest_share</t>
  </si>
  <si>
    <t>share_lift_points</t>
  </si>
  <si>
    <t>top_cluster_posts</t>
  </si>
  <si>
    <t>rest_posts</t>
  </si>
  <si>
    <t>mean</t>
  </si>
  <si>
    <t>week_start</t>
  </si>
  <si>
    <t>total_impressions</t>
  </si>
  <si>
    <t>total_reactions</t>
  </si>
  <si>
    <t>n</t>
  </si>
  <si>
    <t>slope_per_day</t>
  </si>
  <si>
    <t>slope_per_week</t>
  </si>
  <si>
    <t>intercept</t>
  </si>
  <si>
    <t>r2</t>
  </si>
  <si>
    <t>first_date</t>
  </si>
  <si>
    <t>last_date</t>
  </si>
  <si>
    <t>11/24/25</t>
  </si>
  <si>
    <t>1/5/26</t>
  </si>
  <si>
    <t>1/19/26</t>
  </si>
  <si>
    <t>2/2/26</t>
  </si>
  <si>
    <t>2/9/26</t>
  </si>
  <si>
    <t>2/16/26</t>
  </si>
  <si>
    <t>3/2/26</t>
  </si>
  <si>
    <t>3/30/26</t>
  </si>
  <si>
    <t>4/20/26</t>
  </si>
  <si>
    <t>predictor_count</t>
  </si>
  <si>
    <t>r2_in_sample</t>
  </si>
  <si>
    <t>adjusted_r2</t>
  </si>
  <si>
    <t>loocv_rmse</t>
  </si>
  <si>
    <t>reactions_with_impressions_exposure</t>
  </si>
  <si>
    <t>abs_standardized_beta</t>
  </si>
  <si>
    <t>raw_coefficient</t>
  </si>
  <si>
    <t>awareness_Problem-aware</t>
  </si>
  <si>
    <t>awareness_Product-aware</t>
  </si>
  <si>
    <t>note</t>
  </si>
  <si>
    <t>detail</t>
  </si>
  <si>
    <t>Columns removed per request</t>
  </si>
  <si>
    <t>post_id, author, admin feed number, comments, follows export, full caption, and data source notes are excluded from the modeling workbook's Clean Data tab.</t>
  </si>
  <si>
    <t>Model caution</t>
  </si>
  <si>
    <t>Only 31 posts have current impressions. Regression results are directional and should be used for hypotheses, not causal certainty.</t>
  </si>
  <si>
    <t>Predictor set</t>
  </si>
  <si>
    <t>Main regressions use pre-post/content variables only: time, format, hook type/length, caption word count, awareness stage, and selected topic groups.</t>
  </si>
  <si>
    <t>CTR/clicks</t>
  </si>
  <si>
    <t>Clicks and CTR are retained in the clean table for inspection, but excluded from the main regression predictors because they are downstream performance outcomes.</t>
  </si>
  <si>
    <t>Reaction exposure model</t>
  </si>
  <si>
    <t>The separate reactions_with_impressions_exposure model includes impressions to test whether reactions are mostly a reach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</si>
</sst>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C3F"/>
      </patternFill>
    </fill>
    <fill>
      <patternFill patternType="solid">
        <fgColor rgb="FFE7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0" borderId="0" xfId="0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Impression Clusters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posts</c:v>
          </c:tx>
          <c:invertIfNegative val="1"/>
          <c:cat>
            <c:strRef>
              <c:f>'Impression Clusters'!$A$2:$A$4</c:f>
              <c:strCache>
                <c:ptCount val="3"/>
                <c:pt idx="0">
                  <c:v>Low impressions</c:v>
                </c:pt>
                <c:pt idx="1">
                  <c:v>Mid impressions</c:v>
                </c:pt>
                <c:pt idx="2">
                  <c:v>High impressions</c:v>
                </c:pt>
              </c:strCache>
            </c:strRef>
          </c:cat>
          <c:val>
            <c:numRef>
              <c:f>'Impression Clusters'!$B$2:$B$4</c:f>
              <c:numCache>
                <c:formatCode>General</c:formatCode>
                <c:ptCount val="3"/>
                <c:pt idx="0">
                  <c:v>17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4-6B42-AB36-FB508F9388B7}"/>
            </c:ext>
          </c:extLst>
        </c:ser>
        <c:ser>
          <c:idx val="1"/>
          <c:order val="1"/>
          <c:tx>
            <c:v>impressions_min</c:v>
          </c:tx>
          <c:invertIfNegative val="1"/>
          <c:cat>
            <c:strRef>
              <c:f>'Impression Clusters'!$A$2:$A$4</c:f>
              <c:strCache>
                <c:ptCount val="3"/>
                <c:pt idx="0">
                  <c:v>Low impressions</c:v>
                </c:pt>
                <c:pt idx="1">
                  <c:v>Mid impressions</c:v>
                </c:pt>
                <c:pt idx="2">
                  <c:v>High impressions</c:v>
                </c:pt>
              </c:strCache>
            </c:strRef>
          </c:cat>
          <c:val>
            <c:numRef>
              <c:f>'Impression Clusters'!$C$2:$C$4</c:f>
              <c:numCache>
                <c:formatCode>General</c:formatCode>
                <c:ptCount val="3"/>
                <c:pt idx="0">
                  <c:v>85</c:v>
                </c:pt>
                <c:pt idx="1">
                  <c:v>242</c:v>
                </c:pt>
                <c:pt idx="2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64-6B42-AB36-FB508F9388B7}"/>
            </c:ext>
          </c:extLst>
        </c:ser>
        <c:ser>
          <c:idx val="2"/>
          <c:order val="2"/>
          <c:tx>
            <c:v>impressions_max</c:v>
          </c:tx>
          <c:invertIfNegative val="1"/>
          <c:cat>
            <c:strRef>
              <c:f>'Impression Clusters'!$A$2:$A$4</c:f>
              <c:strCache>
                <c:ptCount val="3"/>
                <c:pt idx="0">
                  <c:v>Low impressions</c:v>
                </c:pt>
                <c:pt idx="1">
                  <c:v>Mid impressions</c:v>
                </c:pt>
                <c:pt idx="2">
                  <c:v>High impressions</c:v>
                </c:pt>
              </c:strCache>
            </c:strRef>
          </c:cat>
          <c:val>
            <c:numRef>
              <c:f>'Impression Clusters'!$D$2:$D$4</c:f>
              <c:numCache>
                <c:formatCode>General</c:formatCode>
                <c:ptCount val="3"/>
                <c:pt idx="0">
                  <c:v>232</c:v>
                </c:pt>
                <c:pt idx="1">
                  <c:v>359</c:v>
                </c:pt>
                <c:pt idx="2">
                  <c:v>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4-6B42-AB36-FB508F9388B7}"/>
            </c:ext>
          </c:extLst>
        </c:ser>
        <c:ser>
          <c:idx val="3"/>
          <c:order val="3"/>
          <c:tx>
            <c:v>avg_impressions</c:v>
          </c:tx>
          <c:invertIfNegative val="1"/>
          <c:cat>
            <c:strRef>
              <c:f>'Impression Clusters'!$A$2:$A$4</c:f>
              <c:strCache>
                <c:ptCount val="3"/>
                <c:pt idx="0">
                  <c:v>Low impressions</c:v>
                </c:pt>
                <c:pt idx="1">
                  <c:v>Mid impressions</c:v>
                </c:pt>
                <c:pt idx="2">
                  <c:v>High impressions</c:v>
                </c:pt>
              </c:strCache>
            </c:strRef>
          </c:cat>
          <c:val>
            <c:numRef>
              <c:f>'Impression Clusters'!$E$2:$E$4</c:f>
              <c:numCache>
                <c:formatCode>General</c:formatCode>
                <c:ptCount val="3"/>
                <c:pt idx="0">
                  <c:v>176.52941176470588</c:v>
                </c:pt>
                <c:pt idx="1">
                  <c:v>302.5</c:v>
                </c:pt>
                <c:pt idx="2">
                  <c:v>682.66666666666663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64-6B42-AB36-FB508F9388B7}"/>
            </c:ext>
          </c:extLst>
        </c:ser>
        <c:ser>
          <c:idx val="4"/>
          <c:order val="4"/>
          <c:tx>
            <c:v>median_impressions</c:v>
          </c:tx>
          <c:invertIfNegative val="1"/>
          <c:cat>
            <c:strRef>
              <c:f>'Impression Clusters'!$A$2:$A$4</c:f>
              <c:strCache>
                <c:ptCount val="3"/>
                <c:pt idx="0">
                  <c:v>Low impressions</c:v>
                </c:pt>
                <c:pt idx="1">
                  <c:v>Mid impressions</c:v>
                </c:pt>
                <c:pt idx="2">
                  <c:v>High impressions</c:v>
                </c:pt>
              </c:strCache>
            </c:strRef>
          </c:cat>
          <c:val>
            <c:numRef>
              <c:f>'Impression Clusters'!$F$2:$F$4</c:f>
              <c:numCache>
                <c:formatCode>General</c:formatCode>
                <c:ptCount val="3"/>
                <c:pt idx="0">
                  <c:v>187</c:v>
                </c:pt>
                <c:pt idx="1">
                  <c:v>304</c:v>
                </c:pt>
                <c:pt idx="2">
                  <c:v>639.5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64-6B42-AB36-FB508F9388B7}"/>
            </c:ext>
          </c:extLst>
        </c:ser>
        <c:ser>
          <c:idx val="5"/>
          <c:order val="5"/>
          <c:tx>
            <c:v>avg_reactions</c:v>
          </c:tx>
          <c:invertIfNegative val="1"/>
          <c:cat>
            <c:strRef>
              <c:f>'Impression Clusters'!$A$2:$A$4</c:f>
              <c:strCache>
                <c:ptCount val="3"/>
                <c:pt idx="0">
                  <c:v>Low impressions</c:v>
                </c:pt>
                <c:pt idx="1">
                  <c:v>Mid impressions</c:v>
                </c:pt>
                <c:pt idx="2">
                  <c:v>High impressions</c:v>
                </c:pt>
              </c:strCache>
            </c:strRef>
          </c:cat>
          <c:val>
            <c:numRef>
              <c:f>'Impression Clusters'!$G$2:$G$4</c:f>
              <c:numCache>
                <c:formatCode>General</c:formatCode>
                <c:ptCount val="3"/>
                <c:pt idx="0">
                  <c:v>5.882352941176471</c:v>
                </c:pt>
                <c:pt idx="1">
                  <c:v>8.375</c:v>
                </c:pt>
                <c:pt idx="2">
                  <c:v>19.333333333333332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64-6B42-AB36-FB508F938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Weekly Impressions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posts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Trend'!$B$2:$B$16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B-A940-A251-22C681C4DEEA}"/>
            </c:ext>
          </c:extLst>
        </c:ser>
        <c:ser>
          <c:idx val="1"/>
          <c:order val="1"/>
          <c:tx>
            <c:v>total_impressions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Trend'!$C$2:$C$16</c:f>
              <c:numCache>
                <c:formatCode>General</c:formatCode>
                <c:ptCount val="15"/>
                <c:pt idx="0">
                  <c:v>221</c:v>
                </c:pt>
                <c:pt idx="1">
                  <c:v>1445</c:v>
                </c:pt>
                <c:pt idx="2">
                  <c:v>737</c:v>
                </c:pt>
                <c:pt idx="3">
                  <c:v>673</c:v>
                </c:pt>
                <c:pt idx="4">
                  <c:v>339</c:v>
                </c:pt>
                <c:pt idx="5">
                  <c:v>1023</c:v>
                </c:pt>
                <c:pt idx="6">
                  <c:v>204</c:v>
                </c:pt>
                <c:pt idx="7">
                  <c:v>643</c:v>
                </c:pt>
                <c:pt idx="8">
                  <c:v>378</c:v>
                </c:pt>
                <c:pt idx="9">
                  <c:v>766</c:v>
                </c:pt>
                <c:pt idx="10">
                  <c:v>710</c:v>
                </c:pt>
                <c:pt idx="11">
                  <c:v>246</c:v>
                </c:pt>
                <c:pt idx="12">
                  <c:v>598</c:v>
                </c:pt>
                <c:pt idx="13">
                  <c:v>1449</c:v>
                </c:pt>
                <c:pt idx="1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B-A940-A251-22C681C4DEEA}"/>
            </c:ext>
          </c:extLst>
        </c:ser>
        <c:ser>
          <c:idx val="2"/>
          <c:order val="2"/>
          <c:tx>
            <c:v>avg_impressions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Trend'!$D$2:$D$16</c:f>
              <c:numCache>
                <c:formatCode>General</c:formatCode>
                <c:ptCount val="15"/>
                <c:pt idx="0">
                  <c:v>221</c:v>
                </c:pt>
                <c:pt idx="1">
                  <c:v>722.5</c:v>
                </c:pt>
                <c:pt idx="2">
                  <c:v>245.66666666666666</c:v>
                </c:pt>
                <c:pt idx="3">
                  <c:v>336.5</c:v>
                </c:pt>
                <c:pt idx="4">
                  <c:v>339</c:v>
                </c:pt>
                <c:pt idx="5">
                  <c:v>341</c:v>
                </c:pt>
                <c:pt idx="6">
                  <c:v>204</c:v>
                </c:pt>
                <c:pt idx="7">
                  <c:v>160.75</c:v>
                </c:pt>
                <c:pt idx="8">
                  <c:v>189</c:v>
                </c:pt>
                <c:pt idx="9">
                  <c:v>383</c:v>
                </c:pt>
                <c:pt idx="10">
                  <c:v>236.66666666666666</c:v>
                </c:pt>
                <c:pt idx="11">
                  <c:v>246</c:v>
                </c:pt>
                <c:pt idx="12">
                  <c:v>598</c:v>
                </c:pt>
                <c:pt idx="13">
                  <c:v>362.25</c:v>
                </c:pt>
                <c:pt idx="1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B-A940-A251-22C681C4D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Weekly Reactions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posts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Trend'!$B$2:$B$16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C-F543-B1CC-64D1D2C664F4}"/>
            </c:ext>
          </c:extLst>
        </c:ser>
        <c:ser>
          <c:idx val="1"/>
          <c:order val="1"/>
          <c:tx>
            <c:v>total_impressions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Trend'!$C$2:$C$16</c:f>
              <c:numCache>
                <c:formatCode>General</c:formatCode>
                <c:ptCount val="15"/>
                <c:pt idx="0">
                  <c:v>221</c:v>
                </c:pt>
                <c:pt idx="1">
                  <c:v>1445</c:v>
                </c:pt>
                <c:pt idx="2">
                  <c:v>737</c:v>
                </c:pt>
                <c:pt idx="3">
                  <c:v>673</c:v>
                </c:pt>
                <c:pt idx="4">
                  <c:v>339</c:v>
                </c:pt>
                <c:pt idx="5">
                  <c:v>1023</c:v>
                </c:pt>
                <c:pt idx="6">
                  <c:v>204</c:v>
                </c:pt>
                <c:pt idx="7">
                  <c:v>643</c:v>
                </c:pt>
                <c:pt idx="8">
                  <c:v>378</c:v>
                </c:pt>
                <c:pt idx="9">
                  <c:v>766</c:v>
                </c:pt>
                <c:pt idx="10">
                  <c:v>710</c:v>
                </c:pt>
                <c:pt idx="11">
                  <c:v>246</c:v>
                </c:pt>
                <c:pt idx="12">
                  <c:v>598</c:v>
                </c:pt>
                <c:pt idx="13">
                  <c:v>1449</c:v>
                </c:pt>
                <c:pt idx="1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C-F543-B1CC-64D1D2C664F4}"/>
            </c:ext>
          </c:extLst>
        </c:ser>
        <c:ser>
          <c:idx val="2"/>
          <c:order val="2"/>
          <c:tx>
            <c:v>avg_impressions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Trend'!$D$2:$D$16</c:f>
              <c:numCache>
                <c:formatCode>General</c:formatCode>
                <c:ptCount val="15"/>
                <c:pt idx="0">
                  <c:v>221</c:v>
                </c:pt>
                <c:pt idx="1">
                  <c:v>722.5</c:v>
                </c:pt>
                <c:pt idx="2">
                  <c:v>245.66666666666666</c:v>
                </c:pt>
                <c:pt idx="3">
                  <c:v>336.5</c:v>
                </c:pt>
                <c:pt idx="4">
                  <c:v>339</c:v>
                </c:pt>
                <c:pt idx="5">
                  <c:v>341</c:v>
                </c:pt>
                <c:pt idx="6">
                  <c:v>204</c:v>
                </c:pt>
                <c:pt idx="7">
                  <c:v>160.75</c:v>
                </c:pt>
                <c:pt idx="8">
                  <c:v>189</c:v>
                </c:pt>
                <c:pt idx="9">
                  <c:v>383</c:v>
                </c:pt>
                <c:pt idx="10">
                  <c:v>236.66666666666666</c:v>
                </c:pt>
                <c:pt idx="11">
                  <c:v>246</c:v>
                </c:pt>
                <c:pt idx="12">
                  <c:v>598</c:v>
                </c:pt>
                <c:pt idx="13">
                  <c:v>362.25</c:v>
                </c:pt>
                <c:pt idx="1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C-F543-B1CC-64D1D2C664F4}"/>
            </c:ext>
          </c:extLst>
        </c:ser>
        <c:ser>
          <c:idx val="3"/>
          <c:order val="3"/>
          <c:tx>
            <c:v>total_reactions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Trend'!$E$2:$E$16</c:f>
              <c:numCache>
                <c:formatCode>General</c:formatCode>
                <c:ptCount val="15"/>
                <c:pt idx="0">
                  <c:v>1</c:v>
                </c:pt>
                <c:pt idx="1">
                  <c:v>22</c:v>
                </c:pt>
                <c:pt idx="2">
                  <c:v>21</c:v>
                </c:pt>
                <c:pt idx="3">
                  <c:v>17</c:v>
                </c:pt>
                <c:pt idx="4">
                  <c:v>9</c:v>
                </c:pt>
                <c:pt idx="5">
                  <c:v>35</c:v>
                </c:pt>
                <c:pt idx="6">
                  <c:v>7</c:v>
                </c:pt>
                <c:pt idx="7">
                  <c:v>22</c:v>
                </c:pt>
                <c:pt idx="8">
                  <c:v>12</c:v>
                </c:pt>
                <c:pt idx="9">
                  <c:v>24</c:v>
                </c:pt>
                <c:pt idx="10">
                  <c:v>19</c:v>
                </c:pt>
                <c:pt idx="11">
                  <c:v>10</c:v>
                </c:pt>
                <c:pt idx="12">
                  <c:v>22</c:v>
                </c:pt>
                <c:pt idx="13">
                  <c:v>55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C-F543-B1CC-64D1D2C664F4}"/>
            </c:ext>
          </c:extLst>
        </c:ser>
        <c:ser>
          <c:idx val="4"/>
          <c:order val="4"/>
          <c:tx>
            <c:v>avg_reactions</c:v>
          </c:tx>
          <c:cat>
            <c:strRef>
              <c:f>'Growth Trend'!$A$2:$A$16</c:f>
              <c:strCache>
                <c:ptCount val="15"/>
                <c:pt idx="0">
                  <c:v>11/24/25</c:v>
                </c:pt>
                <c:pt idx="1">
                  <c:v>1/5/26</c:v>
                </c:pt>
                <c:pt idx="2">
                  <c:v>1/19/26</c:v>
                </c:pt>
                <c:pt idx="3">
                  <c:v>1/26/26</c:v>
                </c:pt>
                <c:pt idx="4">
                  <c:v>2/2/26</c:v>
                </c:pt>
                <c:pt idx="5">
                  <c:v>2/9/26</c:v>
                </c:pt>
                <c:pt idx="6">
                  <c:v>2/16/26</c:v>
                </c:pt>
                <c:pt idx="7">
                  <c:v>2/23/26</c:v>
                </c:pt>
                <c:pt idx="8">
                  <c:v>3/2/26</c:v>
                </c:pt>
                <c:pt idx="9">
                  <c:v>3/9/26</c:v>
                </c:pt>
                <c:pt idx="10">
                  <c:v>3/16/26</c:v>
                </c:pt>
                <c:pt idx="11">
                  <c:v>3/23/26</c:v>
                </c:pt>
                <c:pt idx="12">
                  <c:v>3/30/26</c:v>
                </c:pt>
                <c:pt idx="13">
                  <c:v>4/13/26</c:v>
                </c:pt>
                <c:pt idx="14">
                  <c:v>4/20/26</c:v>
                </c:pt>
              </c:strCache>
            </c:strRef>
          </c:cat>
          <c:val>
            <c:numRef>
              <c:f>'Growth Trend'!$F$2:$F$16</c:f>
              <c:numCache>
                <c:formatCode>General</c:formatCode>
                <c:ptCount val="15"/>
                <c:pt idx="0">
                  <c:v>1</c:v>
                </c:pt>
                <c:pt idx="1">
                  <c:v>11</c:v>
                </c:pt>
                <c:pt idx="2">
                  <c:v>7</c:v>
                </c:pt>
                <c:pt idx="3">
                  <c:v>8.5</c:v>
                </c:pt>
                <c:pt idx="4">
                  <c:v>9</c:v>
                </c:pt>
                <c:pt idx="5">
                  <c:v>11.666666666666666</c:v>
                </c:pt>
                <c:pt idx="6">
                  <c:v>7</c:v>
                </c:pt>
                <c:pt idx="7">
                  <c:v>5.5</c:v>
                </c:pt>
                <c:pt idx="8">
                  <c:v>6</c:v>
                </c:pt>
                <c:pt idx="9">
                  <c:v>12</c:v>
                </c:pt>
                <c:pt idx="10">
                  <c:v>6.333333333333333</c:v>
                </c:pt>
                <c:pt idx="11">
                  <c:v>10</c:v>
                </c:pt>
                <c:pt idx="12">
                  <c:v>22</c:v>
                </c:pt>
                <c:pt idx="13">
                  <c:v>13.75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1C-F543-B1CC-64D1D2C66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2895600</xdr:colOff>
      <xdr:row>11</xdr:row>
      <xdr:rowOff>0</xdr:rowOff>
    </xdr:from>
    <xdr:to>
      <xdr:col>18</xdr:col>
      <xdr:colOff>508000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6" workbookViewId="0">
      <selection activeCell="G5" sqref="G5"/>
    </sheetView>
  </sheetViews>
  <sheetFormatPr baseColWidth="10" defaultColWidth="8.83203125" defaultRowHeight="15"/>
  <cols>
    <col min="1" max="1" width="31.33203125" customWidth="1"/>
    <col min="2" max="2" width="112.33203125" customWidth="1"/>
    <col min="4" max="4" width="30" customWidth="1"/>
    <col min="5" max="5" width="14.1640625" customWidth="1"/>
    <col min="6" max="6" width="37.5" customWidth="1"/>
    <col min="7" max="7" width="17.1640625" customWidth="1"/>
    <col min="8" max="8" width="12.83203125" customWidth="1"/>
  </cols>
  <sheetData>
    <row r="1" spans="1:8" ht="21">
      <c r="A1" s="2" t="s">
        <v>0</v>
      </c>
      <c r="B1" s="2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D3" s="5" t="s">
        <v>2</v>
      </c>
      <c r="E3" s="5"/>
      <c r="F3" s="5"/>
      <c r="G3" s="5"/>
      <c r="H3" s="5"/>
    </row>
    <row r="4" spans="1:8" ht="32">
      <c r="A4" s="1" t="s">
        <v>3</v>
      </c>
      <c r="B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31</v>
      </c>
      <c r="D5" t="s">
        <v>11</v>
      </c>
      <c r="E5" t="s">
        <v>12</v>
      </c>
      <c r="F5" t="s">
        <v>13</v>
      </c>
      <c r="G5">
        <v>0.42934754236073441</v>
      </c>
      <c r="H5" t="s">
        <v>14</v>
      </c>
    </row>
    <row r="6" spans="1:8">
      <c r="A6" t="s">
        <v>15</v>
      </c>
      <c r="B6">
        <v>2</v>
      </c>
      <c r="D6" t="s">
        <v>11</v>
      </c>
      <c r="E6" t="s">
        <v>12</v>
      </c>
      <c r="F6" t="s">
        <v>16</v>
      </c>
      <c r="G6">
        <v>0.34197963010623034</v>
      </c>
      <c r="H6" t="s">
        <v>14</v>
      </c>
    </row>
    <row r="7" spans="1:8">
      <c r="A7" t="s">
        <v>17</v>
      </c>
      <c r="B7" t="s">
        <v>18</v>
      </c>
      <c r="D7" t="s">
        <v>11</v>
      </c>
      <c r="E7" t="s">
        <v>12</v>
      </c>
      <c r="F7" t="s">
        <v>19</v>
      </c>
      <c r="G7">
        <v>0.31317657279467981</v>
      </c>
      <c r="H7" t="s">
        <v>14</v>
      </c>
    </row>
    <row r="8" spans="1:8">
      <c r="A8" t="s">
        <v>20</v>
      </c>
      <c r="B8" t="s">
        <v>21</v>
      </c>
      <c r="D8" t="s">
        <v>11</v>
      </c>
      <c r="E8" t="s">
        <v>12</v>
      </c>
      <c r="F8" t="s">
        <v>22</v>
      </c>
      <c r="G8">
        <v>-0.24094633111065408</v>
      </c>
      <c r="H8" t="s">
        <v>23</v>
      </c>
    </row>
    <row r="9" spans="1:8">
      <c r="A9" t="s">
        <v>24</v>
      </c>
      <c r="B9" t="s">
        <v>25</v>
      </c>
      <c r="D9" t="s">
        <v>11</v>
      </c>
      <c r="E9" t="s">
        <v>12</v>
      </c>
      <c r="F9" t="s">
        <v>26</v>
      </c>
      <c r="G9">
        <v>-0.17174372308343533</v>
      </c>
      <c r="H9" t="s">
        <v>23</v>
      </c>
    </row>
    <row r="10" spans="1:8">
      <c r="A10" t="s">
        <v>27</v>
      </c>
      <c r="B10" t="s">
        <v>28</v>
      </c>
      <c r="D10" t="s">
        <v>11</v>
      </c>
      <c r="E10" t="s">
        <v>12</v>
      </c>
      <c r="F10" t="s">
        <v>29</v>
      </c>
      <c r="G10">
        <v>0.16981626371206271</v>
      </c>
      <c r="H10" t="s">
        <v>14</v>
      </c>
    </row>
    <row r="11" spans="1:8">
      <c r="A11" t="s">
        <v>30</v>
      </c>
      <c r="B11" t="s">
        <v>31</v>
      </c>
      <c r="D11" t="s">
        <v>11</v>
      </c>
      <c r="E11" t="s">
        <v>12</v>
      </c>
      <c r="F11" t="s">
        <v>32</v>
      </c>
      <c r="G11">
        <v>-0.16943097239049881</v>
      </c>
      <c r="H11" t="s">
        <v>23</v>
      </c>
    </row>
    <row r="12" spans="1:8">
      <c r="A12" t="s">
        <v>33</v>
      </c>
      <c r="B12" t="s">
        <v>34</v>
      </c>
      <c r="D12" t="s">
        <v>11</v>
      </c>
      <c r="E12" t="s">
        <v>12</v>
      </c>
      <c r="F12" t="s">
        <v>35</v>
      </c>
      <c r="G12">
        <v>0.15203452558647526</v>
      </c>
      <c r="H12" t="s">
        <v>14</v>
      </c>
    </row>
    <row r="13" spans="1:8">
      <c r="A13" t="s">
        <v>36</v>
      </c>
      <c r="B13" t="s">
        <v>37</v>
      </c>
    </row>
    <row r="14" spans="1:8">
      <c r="D14" s="5" t="s">
        <v>38</v>
      </c>
      <c r="E14" s="5"/>
      <c r="F14" s="5"/>
      <c r="G14" s="5"/>
      <c r="H14" s="5"/>
    </row>
    <row r="15" spans="1:8" ht="32"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</row>
    <row r="16" spans="1:8">
      <c r="D16" t="s">
        <v>39</v>
      </c>
      <c r="E16" t="s">
        <v>40</v>
      </c>
      <c r="F16" t="s">
        <v>13</v>
      </c>
      <c r="G16">
        <v>0.65405805034294784</v>
      </c>
      <c r="H16" t="s">
        <v>14</v>
      </c>
    </row>
    <row r="17" spans="4:8">
      <c r="D17" t="s">
        <v>39</v>
      </c>
      <c r="E17" t="s">
        <v>40</v>
      </c>
      <c r="F17" t="s">
        <v>19</v>
      </c>
      <c r="G17">
        <v>0.35613926322147371</v>
      </c>
      <c r="H17" t="s">
        <v>14</v>
      </c>
    </row>
    <row r="18" spans="4:8">
      <c r="D18" t="s">
        <v>39</v>
      </c>
      <c r="E18" t="s">
        <v>40</v>
      </c>
      <c r="F18" t="s">
        <v>29</v>
      </c>
      <c r="G18">
        <v>0.25136676605174013</v>
      </c>
      <c r="H18" t="s">
        <v>14</v>
      </c>
    </row>
    <row r="19" spans="4:8">
      <c r="D19" t="s">
        <v>39</v>
      </c>
      <c r="E19" t="s">
        <v>40</v>
      </c>
      <c r="F19" t="s">
        <v>22</v>
      </c>
      <c r="G19">
        <v>-0.21852625106622514</v>
      </c>
      <c r="H19" t="s">
        <v>23</v>
      </c>
    </row>
    <row r="20" spans="4:8">
      <c r="D20" t="s">
        <v>39</v>
      </c>
      <c r="E20" t="s">
        <v>40</v>
      </c>
      <c r="F20" t="s">
        <v>32</v>
      </c>
      <c r="G20">
        <v>-0.2074162089227598</v>
      </c>
      <c r="H20" t="s">
        <v>23</v>
      </c>
    </row>
    <row r="21" spans="4:8">
      <c r="D21" t="s">
        <v>39</v>
      </c>
      <c r="E21" t="s">
        <v>40</v>
      </c>
      <c r="F21" t="s">
        <v>35</v>
      </c>
      <c r="G21">
        <v>0.20241733354358737</v>
      </c>
      <c r="H21" t="s">
        <v>14</v>
      </c>
    </row>
    <row r="22" spans="4:8">
      <c r="D22" t="s">
        <v>39</v>
      </c>
      <c r="E22" t="s">
        <v>40</v>
      </c>
      <c r="F22" t="s">
        <v>26</v>
      </c>
      <c r="G22">
        <v>-0.13443325369883952</v>
      </c>
      <c r="H22" t="s">
        <v>23</v>
      </c>
    </row>
    <row r="23" spans="4:8">
      <c r="D23" t="s">
        <v>39</v>
      </c>
      <c r="E23" t="s">
        <v>40</v>
      </c>
      <c r="F23" t="s">
        <v>16</v>
      </c>
      <c r="G23">
        <v>-8.2697372862294255E-2</v>
      </c>
      <c r="H23" t="s">
        <v>23</v>
      </c>
    </row>
  </sheetData>
  <mergeCells count="4">
    <mergeCell ref="A1:H1"/>
    <mergeCell ref="A2:H2"/>
    <mergeCell ref="D3:H3"/>
    <mergeCell ref="D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4"/>
  <sheetViews>
    <sheetView showGridLines="0" topLeftCell="G1" workbookViewId="0"/>
  </sheetViews>
  <sheetFormatPr baseColWidth="10" defaultColWidth="8.83203125" defaultRowHeight="15"/>
  <cols>
    <col min="1" max="2" width="11" customWidth="1"/>
    <col min="3" max="3" width="9.1640625" customWidth="1"/>
    <col min="4" max="4" width="12.83203125" customWidth="1"/>
    <col min="5" max="5" width="51" customWidth="1"/>
    <col min="6" max="6" width="12.83203125" customWidth="1"/>
    <col min="7" max="7" width="15.33203125" customWidth="1"/>
    <col min="8" max="8" width="26.33203125" customWidth="1"/>
    <col min="9" max="9" width="19" customWidth="1"/>
    <col min="10" max="10" width="16.5" customWidth="1"/>
    <col min="11" max="11" width="11" customWidth="1"/>
    <col min="12" max="12" width="9.83203125" customWidth="1"/>
    <col min="13" max="15" width="10.5" customWidth="1"/>
    <col min="16" max="16" width="11.6640625" customWidth="1"/>
    <col min="17" max="17" width="12.83203125" customWidth="1"/>
    <col min="18" max="20" width="11.6640625" customWidth="1"/>
    <col min="21" max="21" width="9.1640625" customWidth="1"/>
    <col min="22" max="22" width="8" customWidth="1"/>
    <col min="23" max="23" width="11" customWidth="1"/>
  </cols>
  <sheetData>
    <row r="1" spans="1:23" ht="32">
      <c r="A1" s="1" t="s">
        <v>41</v>
      </c>
      <c r="B1" s="1" t="s">
        <v>22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12</v>
      </c>
      <c r="L1" s="1" t="s">
        <v>40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35</v>
      </c>
      <c r="U1" s="1" t="s">
        <v>26</v>
      </c>
      <c r="V1" s="1" t="s">
        <v>57</v>
      </c>
      <c r="W1" s="1" t="s">
        <v>29</v>
      </c>
    </row>
    <row r="2" spans="1:23">
      <c r="A2" t="s">
        <v>58</v>
      </c>
      <c r="B2">
        <v>0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>
        <v>221</v>
      </c>
      <c r="L2">
        <v>1</v>
      </c>
      <c r="O2">
        <v>0</v>
      </c>
      <c r="S2">
        <v>52</v>
      </c>
      <c r="T2">
        <v>33</v>
      </c>
      <c r="U2">
        <v>0</v>
      </c>
      <c r="V2">
        <v>0</v>
      </c>
      <c r="W2">
        <v>0</v>
      </c>
    </row>
    <row r="3" spans="1:23">
      <c r="A3" t="s">
        <v>67</v>
      </c>
      <c r="B3">
        <v>44</v>
      </c>
      <c r="C3" t="s">
        <v>68</v>
      </c>
      <c r="D3" t="s">
        <v>60</v>
      </c>
      <c r="E3" t="s">
        <v>69</v>
      </c>
      <c r="F3" t="s">
        <v>62</v>
      </c>
      <c r="G3" t="s">
        <v>63</v>
      </c>
      <c r="H3" t="s">
        <v>70</v>
      </c>
      <c r="I3" t="s">
        <v>65</v>
      </c>
      <c r="J3" t="s">
        <v>71</v>
      </c>
      <c r="K3">
        <v>862</v>
      </c>
      <c r="L3">
        <v>13</v>
      </c>
      <c r="M3">
        <v>66</v>
      </c>
      <c r="N3">
        <v>7.9326919999999994</v>
      </c>
      <c r="O3">
        <v>1</v>
      </c>
      <c r="Q3">
        <v>832</v>
      </c>
      <c r="R3">
        <v>13</v>
      </c>
      <c r="S3">
        <v>27</v>
      </c>
      <c r="T3">
        <v>46</v>
      </c>
      <c r="U3">
        <v>0</v>
      </c>
      <c r="V3">
        <v>0</v>
      </c>
      <c r="W3">
        <v>0</v>
      </c>
    </row>
    <row r="4" spans="1:23">
      <c r="A4" t="s">
        <v>67</v>
      </c>
      <c r="B4">
        <v>44</v>
      </c>
      <c r="C4" t="s">
        <v>68</v>
      </c>
      <c r="D4" t="s">
        <v>72</v>
      </c>
      <c r="E4" t="s">
        <v>73</v>
      </c>
      <c r="F4" t="s">
        <v>62</v>
      </c>
      <c r="G4" t="s">
        <v>63</v>
      </c>
      <c r="H4" t="s">
        <v>64</v>
      </c>
      <c r="I4" t="s">
        <v>65</v>
      </c>
      <c r="J4" t="s">
        <v>71</v>
      </c>
      <c r="K4">
        <v>583</v>
      </c>
      <c r="L4">
        <v>9</v>
      </c>
      <c r="M4">
        <v>37</v>
      </c>
      <c r="N4">
        <v>6.5026365000000004</v>
      </c>
      <c r="O4">
        <v>3</v>
      </c>
      <c r="Q4">
        <v>569</v>
      </c>
      <c r="R4">
        <v>9</v>
      </c>
      <c r="S4">
        <v>153</v>
      </c>
      <c r="T4">
        <v>35</v>
      </c>
      <c r="U4">
        <v>0</v>
      </c>
      <c r="V4">
        <v>0</v>
      </c>
      <c r="W4">
        <v>0</v>
      </c>
    </row>
    <row r="5" spans="1:23">
      <c r="A5" t="s">
        <v>74</v>
      </c>
      <c r="B5">
        <v>56</v>
      </c>
      <c r="C5" t="s">
        <v>68</v>
      </c>
      <c r="D5" t="s">
        <v>60</v>
      </c>
      <c r="E5" t="s">
        <v>75</v>
      </c>
      <c r="F5" t="s">
        <v>62</v>
      </c>
      <c r="G5" t="s">
        <v>76</v>
      </c>
      <c r="H5" t="s">
        <v>77</v>
      </c>
      <c r="I5" t="s">
        <v>78</v>
      </c>
      <c r="J5" t="s">
        <v>79</v>
      </c>
      <c r="K5">
        <v>294</v>
      </c>
      <c r="L5">
        <v>6</v>
      </c>
      <c r="M5">
        <v>8</v>
      </c>
      <c r="N5">
        <v>2.8469751000000003</v>
      </c>
      <c r="O5">
        <v>0</v>
      </c>
      <c r="Q5">
        <v>281</v>
      </c>
      <c r="R5">
        <v>6</v>
      </c>
      <c r="S5">
        <v>178</v>
      </c>
      <c r="T5">
        <v>34</v>
      </c>
      <c r="U5">
        <v>0</v>
      </c>
      <c r="V5">
        <v>0</v>
      </c>
      <c r="W5">
        <v>0</v>
      </c>
    </row>
    <row r="6" spans="1:23">
      <c r="A6" t="s">
        <v>80</v>
      </c>
      <c r="B6">
        <v>57</v>
      </c>
      <c r="C6" t="s">
        <v>68</v>
      </c>
      <c r="D6" t="s">
        <v>81</v>
      </c>
      <c r="E6" t="s">
        <v>82</v>
      </c>
      <c r="F6" t="s">
        <v>62</v>
      </c>
      <c r="G6" t="s">
        <v>76</v>
      </c>
      <c r="H6" t="s">
        <v>83</v>
      </c>
      <c r="I6" t="s">
        <v>84</v>
      </c>
      <c r="J6" t="s">
        <v>79</v>
      </c>
      <c r="K6">
        <v>242</v>
      </c>
      <c r="L6">
        <v>9</v>
      </c>
      <c r="M6">
        <v>59</v>
      </c>
      <c r="N6">
        <v>26.58</v>
      </c>
      <c r="O6">
        <v>0</v>
      </c>
      <c r="Q6">
        <v>222</v>
      </c>
      <c r="R6">
        <v>9</v>
      </c>
      <c r="S6">
        <v>172</v>
      </c>
      <c r="T6">
        <v>96</v>
      </c>
      <c r="U6">
        <v>1</v>
      </c>
      <c r="V6">
        <v>0</v>
      </c>
      <c r="W6">
        <v>0</v>
      </c>
    </row>
    <row r="7" spans="1:23">
      <c r="A7" t="s">
        <v>85</v>
      </c>
      <c r="B7">
        <v>58</v>
      </c>
      <c r="C7" t="s">
        <v>68</v>
      </c>
      <c r="D7" t="s">
        <v>60</v>
      </c>
      <c r="E7" t="s">
        <v>86</v>
      </c>
      <c r="F7" t="s">
        <v>62</v>
      </c>
      <c r="G7" t="s">
        <v>87</v>
      </c>
      <c r="H7" t="s">
        <v>88</v>
      </c>
      <c r="I7" t="s">
        <v>89</v>
      </c>
      <c r="J7" t="s">
        <v>66</v>
      </c>
      <c r="K7">
        <v>201</v>
      </c>
      <c r="L7">
        <v>6</v>
      </c>
      <c r="M7">
        <v>18</v>
      </c>
      <c r="N7">
        <v>9.6256681000000004</v>
      </c>
      <c r="O7">
        <v>0</v>
      </c>
      <c r="Q7">
        <v>187</v>
      </c>
      <c r="R7">
        <v>6</v>
      </c>
      <c r="S7">
        <v>303</v>
      </c>
      <c r="T7">
        <v>34</v>
      </c>
      <c r="U7">
        <v>0</v>
      </c>
      <c r="V7">
        <v>0</v>
      </c>
      <c r="W7">
        <v>0</v>
      </c>
    </row>
    <row r="8" spans="1:23">
      <c r="A8" t="s">
        <v>90</v>
      </c>
      <c r="B8">
        <v>62</v>
      </c>
      <c r="C8" t="s">
        <v>68</v>
      </c>
      <c r="D8" t="s">
        <v>60</v>
      </c>
      <c r="E8" t="s">
        <v>91</v>
      </c>
      <c r="F8" t="s">
        <v>92</v>
      </c>
      <c r="G8" t="s">
        <v>87</v>
      </c>
      <c r="H8" t="s">
        <v>93</v>
      </c>
      <c r="I8" t="s">
        <v>78</v>
      </c>
      <c r="J8" t="s">
        <v>79</v>
      </c>
      <c r="K8">
        <v>359</v>
      </c>
      <c r="L8">
        <v>10</v>
      </c>
      <c r="M8">
        <v>11</v>
      </c>
      <c r="N8">
        <v>3.1791906999999999</v>
      </c>
      <c r="O8">
        <v>0</v>
      </c>
      <c r="Q8">
        <v>346</v>
      </c>
      <c r="R8">
        <v>10</v>
      </c>
      <c r="S8">
        <v>283</v>
      </c>
      <c r="T8">
        <v>62</v>
      </c>
      <c r="U8">
        <v>0</v>
      </c>
      <c r="V8">
        <v>0</v>
      </c>
      <c r="W8">
        <v>1</v>
      </c>
    </row>
    <row r="9" spans="1:23">
      <c r="A9" t="s">
        <v>94</v>
      </c>
      <c r="B9">
        <v>63</v>
      </c>
      <c r="C9" t="s">
        <v>68</v>
      </c>
      <c r="D9" t="s">
        <v>60</v>
      </c>
      <c r="E9" t="s">
        <v>95</v>
      </c>
      <c r="F9" t="s">
        <v>62</v>
      </c>
      <c r="G9" t="s">
        <v>63</v>
      </c>
      <c r="H9" t="s">
        <v>93</v>
      </c>
      <c r="I9" t="s">
        <v>78</v>
      </c>
      <c r="J9" t="s">
        <v>79</v>
      </c>
      <c r="K9">
        <v>314</v>
      </c>
      <c r="L9">
        <v>7</v>
      </c>
      <c r="M9">
        <v>6</v>
      </c>
      <c r="N9">
        <v>2.0066888999999999</v>
      </c>
      <c r="O9">
        <v>0</v>
      </c>
      <c r="Q9">
        <v>299</v>
      </c>
      <c r="R9">
        <v>7</v>
      </c>
      <c r="S9">
        <v>147</v>
      </c>
      <c r="T9">
        <v>127</v>
      </c>
      <c r="U9">
        <v>0</v>
      </c>
      <c r="V9">
        <v>0</v>
      </c>
      <c r="W9">
        <v>0</v>
      </c>
    </row>
    <row r="10" spans="1:23">
      <c r="A10" t="s">
        <v>96</v>
      </c>
      <c r="B10">
        <v>71</v>
      </c>
      <c r="C10" t="s">
        <v>97</v>
      </c>
      <c r="D10" t="s">
        <v>81</v>
      </c>
      <c r="E10" t="s">
        <v>98</v>
      </c>
      <c r="F10" t="s">
        <v>62</v>
      </c>
      <c r="G10" t="s">
        <v>99</v>
      </c>
      <c r="H10" t="s">
        <v>100</v>
      </c>
      <c r="I10" t="s">
        <v>101</v>
      </c>
      <c r="J10" t="s">
        <v>79</v>
      </c>
      <c r="K10">
        <v>339</v>
      </c>
      <c r="L10">
        <v>9</v>
      </c>
      <c r="M10">
        <v>80</v>
      </c>
      <c r="N10">
        <v>25.8899689</v>
      </c>
      <c r="O10">
        <v>1</v>
      </c>
      <c r="Q10">
        <v>309</v>
      </c>
      <c r="R10">
        <v>9</v>
      </c>
      <c r="S10">
        <v>143</v>
      </c>
      <c r="T10">
        <v>54</v>
      </c>
      <c r="U10">
        <v>1</v>
      </c>
      <c r="V10">
        <v>0</v>
      </c>
      <c r="W10">
        <v>0</v>
      </c>
    </row>
    <row r="11" spans="1:23">
      <c r="A11" t="s">
        <v>102</v>
      </c>
      <c r="B11">
        <v>77</v>
      </c>
      <c r="C11" t="s">
        <v>97</v>
      </c>
      <c r="D11" t="s">
        <v>60</v>
      </c>
      <c r="E11" t="s">
        <v>103</v>
      </c>
      <c r="F11" t="s">
        <v>92</v>
      </c>
      <c r="G11" t="s">
        <v>87</v>
      </c>
      <c r="H11" t="s">
        <v>104</v>
      </c>
      <c r="I11" t="s">
        <v>105</v>
      </c>
      <c r="J11" t="s">
        <v>66</v>
      </c>
      <c r="K11">
        <v>121</v>
      </c>
      <c r="L11">
        <v>5</v>
      </c>
      <c r="M11">
        <v>3</v>
      </c>
      <c r="N11">
        <v>3.3707864999999995</v>
      </c>
      <c r="O11">
        <v>0</v>
      </c>
      <c r="Q11">
        <v>89</v>
      </c>
      <c r="R11">
        <v>5</v>
      </c>
      <c r="S11">
        <v>168</v>
      </c>
      <c r="T11">
        <v>67</v>
      </c>
      <c r="U11">
        <v>0</v>
      </c>
      <c r="V11">
        <v>0</v>
      </c>
      <c r="W11">
        <v>1</v>
      </c>
    </row>
    <row r="12" spans="1:23">
      <c r="A12" t="s">
        <v>102</v>
      </c>
      <c r="B12">
        <v>77</v>
      </c>
      <c r="C12" t="s">
        <v>97</v>
      </c>
      <c r="D12" t="s">
        <v>60</v>
      </c>
      <c r="E12" t="s">
        <v>106</v>
      </c>
      <c r="F12" t="s">
        <v>62</v>
      </c>
      <c r="G12" t="s">
        <v>63</v>
      </c>
      <c r="H12" t="s">
        <v>100</v>
      </c>
      <c r="I12" t="s">
        <v>101</v>
      </c>
      <c r="J12" t="s">
        <v>66</v>
      </c>
      <c r="K12">
        <v>221</v>
      </c>
      <c r="L12">
        <v>8</v>
      </c>
      <c r="M12">
        <v>7</v>
      </c>
      <c r="N12">
        <v>3.8043477000000001</v>
      </c>
      <c r="O12">
        <v>0</v>
      </c>
      <c r="Q12">
        <v>184</v>
      </c>
      <c r="R12">
        <v>8</v>
      </c>
      <c r="S12">
        <v>187</v>
      </c>
      <c r="T12">
        <v>64</v>
      </c>
      <c r="U12">
        <v>0</v>
      </c>
      <c r="V12">
        <v>0</v>
      </c>
      <c r="W12">
        <v>0</v>
      </c>
    </row>
    <row r="13" spans="1:23">
      <c r="A13" t="s">
        <v>107</v>
      </c>
      <c r="B13">
        <v>82</v>
      </c>
      <c r="C13" t="s">
        <v>97</v>
      </c>
      <c r="D13" t="s">
        <v>60</v>
      </c>
      <c r="E13" t="s">
        <v>108</v>
      </c>
      <c r="F13" t="s">
        <v>62</v>
      </c>
      <c r="G13" t="s">
        <v>76</v>
      </c>
      <c r="H13" t="s">
        <v>109</v>
      </c>
      <c r="I13" t="s">
        <v>110</v>
      </c>
      <c r="J13" t="s">
        <v>71</v>
      </c>
      <c r="K13">
        <v>681</v>
      </c>
      <c r="L13">
        <v>22</v>
      </c>
      <c r="M13">
        <v>5</v>
      </c>
      <c r="N13">
        <v>0.95</v>
      </c>
      <c r="O13">
        <v>2</v>
      </c>
      <c r="Q13">
        <v>525</v>
      </c>
      <c r="R13">
        <v>17</v>
      </c>
      <c r="S13">
        <v>147</v>
      </c>
      <c r="T13">
        <v>57</v>
      </c>
      <c r="U13">
        <v>0</v>
      </c>
      <c r="V13">
        <v>0</v>
      </c>
      <c r="W13">
        <v>0</v>
      </c>
    </row>
    <row r="14" spans="1:23">
      <c r="A14" t="s">
        <v>111</v>
      </c>
      <c r="B14">
        <v>85</v>
      </c>
      <c r="C14" t="s">
        <v>97</v>
      </c>
      <c r="D14" t="s">
        <v>81</v>
      </c>
      <c r="E14" t="s">
        <v>112</v>
      </c>
      <c r="F14" t="s">
        <v>62</v>
      </c>
      <c r="G14" t="s">
        <v>63</v>
      </c>
      <c r="H14" t="s">
        <v>83</v>
      </c>
      <c r="I14" t="s">
        <v>84</v>
      </c>
      <c r="J14" t="s">
        <v>66</v>
      </c>
      <c r="K14">
        <v>204</v>
      </c>
      <c r="L14">
        <v>7</v>
      </c>
      <c r="M14">
        <v>9</v>
      </c>
      <c r="N14">
        <v>7.14</v>
      </c>
      <c r="O14">
        <v>1</v>
      </c>
      <c r="Q14">
        <v>126</v>
      </c>
      <c r="R14">
        <v>4</v>
      </c>
      <c r="S14">
        <v>176</v>
      </c>
      <c r="T14">
        <v>54</v>
      </c>
      <c r="U14">
        <v>1</v>
      </c>
      <c r="V14">
        <v>0</v>
      </c>
      <c r="W14">
        <v>0</v>
      </c>
    </row>
    <row r="15" spans="1:23">
      <c r="A15" t="s">
        <v>113</v>
      </c>
      <c r="B15">
        <v>90</v>
      </c>
      <c r="C15" t="s">
        <v>97</v>
      </c>
      <c r="D15" t="s">
        <v>60</v>
      </c>
      <c r="E15" t="s">
        <v>114</v>
      </c>
      <c r="F15" t="s">
        <v>62</v>
      </c>
      <c r="G15" t="s">
        <v>76</v>
      </c>
      <c r="H15" t="s">
        <v>77</v>
      </c>
      <c r="I15" t="s">
        <v>78</v>
      </c>
      <c r="J15" t="s">
        <v>66</v>
      </c>
      <c r="K15">
        <v>135</v>
      </c>
      <c r="L15">
        <v>4</v>
      </c>
      <c r="M15">
        <v>5</v>
      </c>
      <c r="N15">
        <v>6.4935065999999999</v>
      </c>
      <c r="O15">
        <v>0</v>
      </c>
      <c r="Q15">
        <v>77</v>
      </c>
      <c r="R15">
        <v>3</v>
      </c>
      <c r="S15">
        <v>115</v>
      </c>
      <c r="T15">
        <v>60</v>
      </c>
      <c r="U15">
        <v>0</v>
      </c>
      <c r="V15">
        <v>0</v>
      </c>
      <c r="W15">
        <v>0</v>
      </c>
    </row>
    <row r="16" spans="1:23">
      <c r="A16" t="s">
        <v>115</v>
      </c>
      <c r="B16">
        <v>91</v>
      </c>
      <c r="C16" t="s">
        <v>97</v>
      </c>
      <c r="D16" t="s">
        <v>60</v>
      </c>
      <c r="E16" t="s">
        <v>116</v>
      </c>
      <c r="F16" t="s">
        <v>62</v>
      </c>
      <c r="G16" t="s">
        <v>99</v>
      </c>
      <c r="H16" t="s">
        <v>88</v>
      </c>
      <c r="I16" t="s">
        <v>89</v>
      </c>
      <c r="J16" t="s">
        <v>66</v>
      </c>
      <c r="K16">
        <v>154</v>
      </c>
      <c r="L16">
        <v>6</v>
      </c>
      <c r="M16">
        <v>5</v>
      </c>
      <c r="N16">
        <v>8.1967211999999989</v>
      </c>
      <c r="O16">
        <v>0</v>
      </c>
      <c r="Q16">
        <v>61</v>
      </c>
      <c r="R16">
        <v>2</v>
      </c>
      <c r="S16">
        <v>160</v>
      </c>
      <c r="T16">
        <v>136</v>
      </c>
      <c r="U16">
        <v>0</v>
      </c>
      <c r="V16">
        <v>0</v>
      </c>
      <c r="W16">
        <v>0</v>
      </c>
    </row>
    <row r="17" spans="1:23">
      <c r="A17" t="s">
        <v>117</v>
      </c>
      <c r="B17">
        <v>92</v>
      </c>
      <c r="C17" t="s">
        <v>97</v>
      </c>
      <c r="D17" t="s">
        <v>60</v>
      </c>
      <c r="E17" t="s">
        <v>118</v>
      </c>
      <c r="F17" t="s">
        <v>62</v>
      </c>
      <c r="G17" t="s">
        <v>99</v>
      </c>
      <c r="H17" t="s">
        <v>109</v>
      </c>
      <c r="I17" t="s">
        <v>110</v>
      </c>
      <c r="J17" t="s">
        <v>66</v>
      </c>
      <c r="K17">
        <v>178</v>
      </c>
      <c r="L17">
        <v>5</v>
      </c>
      <c r="M17">
        <v>2</v>
      </c>
      <c r="N17">
        <v>4.26</v>
      </c>
      <c r="O17">
        <v>0</v>
      </c>
      <c r="Q17">
        <v>47</v>
      </c>
      <c r="R17">
        <v>4</v>
      </c>
      <c r="S17">
        <v>180</v>
      </c>
      <c r="T17">
        <v>53</v>
      </c>
      <c r="U17">
        <v>0</v>
      </c>
      <c r="V17">
        <v>0</v>
      </c>
      <c r="W17">
        <v>0</v>
      </c>
    </row>
    <row r="18" spans="1:23">
      <c r="A18" t="s">
        <v>119</v>
      </c>
      <c r="B18">
        <v>93</v>
      </c>
      <c r="C18" t="s">
        <v>97</v>
      </c>
      <c r="D18" t="s">
        <v>60</v>
      </c>
      <c r="E18" t="s">
        <v>120</v>
      </c>
      <c r="F18" t="s">
        <v>62</v>
      </c>
      <c r="G18" t="s">
        <v>63</v>
      </c>
      <c r="H18" t="s">
        <v>121</v>
      </c>
      <c r="I18" t="s">
        <v>122</v>
      </c>
      <c r="J18" t="s">
        <v>66</v>
      </c>
      <c r="K18">
        <v>176</v>
      </c>
      <c r="L18">
        <v>7</v>
      </c>
      <c r="O18">
        <v>1</v>
      </c>
      <c r="S18">
        <v>129</v>
      </c>
      <c r="T18">
        <v>38</v>
      </c>
      <c r="U18">
        <v>0</v>
      </c>
      <c r="V18">
        <v>0</v>
      </c>
      <c r="W18">
        <v>0</v>
      </c>
    </row>
    <row r="19" spans="1:23">
      <c r="A19" t="s">
        <v>123</v>
      </c>
      <c r="B19">
        <v>98</v>
      </c>
      <c r="C19" t="s">
        <v>124</v>
      </c>
      <c r="D19" t="s">
        <v>60</v>
      </c>
      <c r="E19" t="s">
        <v>125</v>
      </c>
      <c r="F19" t="s">
        <v>62</v>
      </c>
      <c r="G19" t="s">
        <v>99</v>
      </c>
      <c r="H19" t="s">
        <v>93</v>
      </c>
      <c r="I19" t="s">
        <v>78</v>
      </c>
      <c r="J19" t="s">
        <v>66</v>
      </c>
      <c r="K19">
        <v>191</v>
      </c>
      <c r="L19">
        <v>7</v>
      </c>
      <c r="M19">
        <v>33</v>
      </c>
      <c r="N19">
        <v>18.333333700000001</v>
      </c>
      <c r="O19">
        <v>0</v>
      </c>
      <c r="Q19">
        <v>180</v>
      </c>
      <c r="R19">
        <v>7</v>
      </c>
      <c r="S19">
        <v>134</v>
      </c>
      <c r="T19">
        <v>77</v>
      </c>
      <c r="U19">
        <v>0</v>
      </c>
      <c r="V19">
        <v>0</v>
      </c>
      <c r="W19">
        <v>0</v>
      </c>
    </row>
    <row r="20" spans="1:23">
      <c r="A20" t="s">
        <v>126</v>
      </c>
      <c r="B20">
        <v>99</v>
      </c>
      <c r="C20" t="s">
        <v>124</v>
      </c>
      <c r="D20" t="s">
        <v>60</v>
      </c>
      <c r="E20" t="s">
        <v>127</v>
      </c>
      <c r="F20" t="s">
        <v>62</v>
      </c>
      <c r="G20" t="s">
        <v>76</v>
      </c>
      <c r="H20" t="s">
        <v>100</v>
      </c>
      <c r="I20" t="s">
        <v>101</v>
      </c>
      <c r="J20" t="s">
        <v>66</v>
      </c>
      <c r="K20">
        <v>187</v>
      </c>
      <c r="L20">
        <v>5</v>
      </c>
      <c r="M20">
        <v>15</v>
      </c>
      <c r="N20">
        <v>8.5227273000000014</v>
      </c>
      <c r="O20">
        <v>0</v>
      </c>
      <c r="Q20">
        <v>176</v>
      </c>
      <c r="R20">
        <v>5</v>
      </c>
      <c r="S20">
        <v>95</v>
      </c>
      <c r="T20">
        <v>78</v>
      </c>
      <c r="U20">
        <v>0</v>
      </c>
      <c r="V20">
        <v>0</v>
      </c>
      <c r="W20">
        <v>0</v>
      </c>
    </row>
    <row r="21" spans="1:23">
      <c r="A21" t="s">
        <v>128</v>
      </c>
      <c r="B21">
        <v>104</v>
      </c>
      <c r="C21" t="s">
        <v>124</v>
      </c>
      <c r="D21" t="s">
        <v>129</v>
      </c>
      <c r="E21" t="s">
        <v>130</v>
      </c>
      <c r="F21" t="s">
        <v>92</v>
      </c>
      <c r="G21" t="s">
        <v>87</v>
      </c>
      <c r="H21" t="s">
        <v>100</v>
      </c>
      <c r="I21" t="s">
        <v>101</v>
      </c>
      <c r="J21" t="s">
        <v>131</v>
      </c>
      <c r="L21">
        <v>11</v>
      </c>
      <c r="M21">
        <v>16</v>
      </c>
      <c r="N21">
        <v>5.9925093999999994</v>
      </c>
      <c r="O21">
        <v>1</v>
      </c>
      <c r="P21">
        <v>132</v>
      </c>
      <c r="Q21">
        <v>267</v>
      </c>
      <c r="R21">
        <v>10</v>
      </c>
      <c r="S21">
        <v>144</v>
      </c>
      <c r="T21">
        <v>132</v>
      </c>
      <c r="U21">
        <v>0</v>
      </c>
      <c r="V21">
        <v>1</v>
      </c>
      <c r="W21">
        <v>1</v>
      </c>
    </row>
    <row r="22" spans="1:23">
      <c r="A22" t="s">
        <v>132</v>
      </c>
      <c r="B22">
        <v>106</v>
      </c>
      <c r="C22" t="s">
        <v>124</v>
      </c>
      <c r="D22" t="s">
        <v>60</v>
      </c>
      <c r="E22" t="s">
        <v>133</v>
      </c>
      <c r="F22" t="s">
        <v>62</v>
      </c>
      <c r="G22" t="s">
        <v>99</v>
      </c>
      <c r="H22" t="s">
        <v>109</v>
      </c>
      <c r="I22" t="s">
        <v>110</v>
      </c>
      <c r="J22" t="s">
        <v>71</v>
      </c>
      <c r="K22">
        <v>498</v>
      </c>
      <c r="L22">
        <v>15</v>
      </c>
      <c r="M22">
        <v>18</v>
      </c>
      <c r="N22">
        <v>3.8297873</v>
      </c>
      <c r="O22">
        <v>0</v>
      </c>
      <c r="Q22">
        <v>470</v>
      </c>
      <c r="R22">
        <v>15</v>
      </c>
      <c r="S22">
        <v>94</v>
      </c>
      <c r="T22">
        <v>123</v>
      </c>
      <c r="U22">
        <v>0</v>
      </c>
      <c r="V22">
        <v>0</v>
      </c>
      <c r="W22">
        <v>0</v>
      </c>
    </row>
    <row r="23" spans="1:23">
      <c r="A23" t="s">
        <v>134</v>
      </c>
      <c r="B23">
        <v>107</v>
      </c>
      <c r="C23" t="s">
        <v>124</v>
      </c>
      <c r="D23" t="s">
        <v>60</v>
      </c>
      <c r="E23" t="s">
        <v>135</v>
      </c>
      <c r="F23" t="s">
        <v>62</v>
      </c>
      <c r="G23" t="s">
        <v>76</v>
      </c>
      <c r="H23" t="s">
        <v>136</v>
      </c>
      <c r="I23" t="s">
        <v>105</v>
      </c>
      <c r="J23" t="s">
        <v>79</v>
      </c>
      <c r="K23">
        <v>268</v>
      </c>
      <c r="L23">
        <v>9</v>
      </c>
      <c r="M23">
        <v>13</v>
      </c>
      <c r="N23">
        <v>5.3941908999999999</v>
      </c>
      <c r="O23">
        <v>0</v>
      </c>
      <c r="Q23">
        <v>241</v>
      </c>
      <c r="R23">
        <v>9</v>
      </c>
      <c r="S23">
        <v>149</v>
      </c>
      <c r="T23">
        <v>135</v>
      </c>
      <c r="U23">
        <v>0</v>
      </c>
      <c r="V23">
        <v>0</v>
      </c>
      <c r="W23">
        <v>0</v>
      </c>
    </row>
    <row r="24" spans="1:23">
      <c r="A24" t="s">
        <v>137</v>
      </c>
      <c r="B24">
        <v>111</v>
      </c>
      <c r="C24" t="s">
        <v>124</v>
      </c>
      <c r="D24" t="s">
        <v>60</v>
      </c>
      <c r="E24" t="s">
        <v>138</v>
      </c>
      <c r="F24" t="s">
        <v>62</v>
      </c>
      <c r="G24" t="s">
        <v>99</v>
      </c>
      <c r="H24" t="s">
        <v>88</v>
      </c>
      <c r="I24" t="s">
        <v>89</v>
      </c>
      <c r="J24" t="s">
        <v>66</v>
      </c>
      <c r="K24">
        <v>152</v>
      </c>
      <c r="L24">
        <v>6</v>
      </c>
      <c r="M24">
        <v>5</v>
      </c>
      <c r="N24">
        <v>4.6728972000000004</v>
      </c>
      <c r="O24">
        <v>0</v>
      </c>
      <c r="Q24">
        <v>107</v>
      </c>
      <c r="R24">
        <v>6</v>
      </c>
      <c r="S24">
        <v>133</v>
      </c>
      <c r="T24">
        <v>81</v>
      </c>
      <c r="U24">
        <v>0</v>
      </c>
      <c r="V24">
        <v>0</v>
      </c>
      <c r="W24">
        <v>0</v>
      </c>
    </row>
    <row r="25" spans="1:23">
      <c r="A25" t="s">
        <v>139</v>
      </c>
      <c r="B25">
        <v>112</v>
      </c>
      <c r="C25" t="s">
        <v>124</v>
      </c>
      <c r="D25" t="s">
        <v>60</v>
      </c>
      <c r="E25" t="s">
        <v>140</v>
      </c>
      <c r="F25" t="s">
        <v>62</v>
      </c>
      <c r="G25" t="s">
        <v>76</v>
      </c>
      <c r="H25" t="s">
        <v>141</v>
      </c>
      <c r="I25" t="s">
        <v>84</v>
      </c>
      <c r="J25" t="s">
        <v>79</v>
      </c>
      <c r="K25">
        <v>358</v>
      </c>
      <c r="L25">
        <v>7</v>
      </c>
      <c r="M25">
        <v>11</v>
      </c>
      <c r="N25">
        <v>4.7210302000000004</v>
      </c>
      <c r="O25">
        <v>2</v>
      </c>
      <c r="Q25">
        <v>233</v>
      </c>
      <c r="R25">
        <v>7</v>
      </c>
      <c r="S25">
        <v>105</v>
      </c>
      <c r="T25">
        <v>65</v>
      </c>
      <c r="U25">
        <v>0</v>
      </c>
      <c r="V25">
        <v>0</v>
      </c>
      <c r="W25">
        <v>0</v>
      </c>
    </row>
    <row r="26" spans="1:23">
      <c r="A26" t="s">
        <v>142</v>
      </c>
      <c r="B26">
        <v>114</v>
      </c>
      <c r="C26" t="s">
        <v>124</v>
      </c>
      <c r="D26" t="s">
        <v>60</v>
      </c>
      <c r="E26" t="s">
        <v>143</v>
      </c>
      <c r="F26" t="s">
        <v>62</v>
      </c>
      <c r="G26" t="s">
        <v>76</v>
      </c>
      <c r="H26" t="s">
        <v>88</v>
      </c>
      <c r="I26" t="s">
        <v>89</v>
      </c>
      <c r="J26" t="s">
        <v>66</v>
      </c>
      <c r="K26">
        <v>200</v>
      </c>
      <c r="L26">
        <v>6</v>
      </c>
      <c r="M26">
        <v>1</v>
      </c>
      <c r="N26">
        <v>0.94339620000000002</v>
      </c>
      <c r="O26">
        <v>0</v>
      </c>
      <c r="Q26">
        <v>106</v>
      </c>
      <c r="R26">
        <v>4</v>
      </c>
      <c r="S26">
        <v>103</v>
      </c>
      <c r="T26">
        <v>86</v>
      </c>
      <c r="U26">
        <v>0</v>
      </c>
      <c r="V26">
        <v>0</v>
      </c>
      <c r="W26">
        <v>0</v>
      </c>
    </row>
    <row r="27" spans="1:23">
      <c r="A27" t="s">
        <v>144</v>
      </c>
      <c r="B27">
        <v>115</v>
      </c>
      <c r="C27" t="s">
        <v>124</v>
      </c>
      <c r="D27" t="s">
        <v>60</v>
      </c>
      <c r="E27" t="s">
        <v>140</v>
      </c>
      <c r="F27" t="s">
        <v>62</v>
      </c>
      <c r="G27" t="s">
        <v>76</v>
      </c>
      <c r="H27" t="s">
        <v>141</v>
      </c>
      <c r="I27" t="s">
        <v>84</v>
      </c>
      <c r="J27" t="s">
        <v>131</v>
      </c>
      <c r="L27">
        <v>7</v>
      </c>
      <c r="O27">
        <v>2</v>
      </c>
      <c r="S27">
        <v>105</v>
      </c>
      <c r="T27">
        <v>65</v>
      </c>
      <c r="U27">
        <v>0</v>
      </c>
      <c r="V27">
        <v>0</v>
      </c>
      <c r="W27">
        <v>0</v>
      </c>
    </row>
    <row r="28" spans="1:23">
      <c r="A28" t="s">
        <v>145</v>
      </c>
      <c r="B28">
        <v>118</v>
      </c>
      <c r="C28" t="s">
        <v>124</v>
      </c>
      <c r="D28" t="s">
        <v>60</v>
      </c>
      <c r="E28" t="s">
        <v>146</v>
      </c>
      <c r="F28" t="s">
        <v>62</v>
      </c>
      <c r="G28" t="s">
        <v>76</v>
      </c>
      <c r="H28" t="s">
        <v>109</v>
      </c>
      <c r="I28" t="s">
        <v>110</v>
      </c>
      <c r="J28" t="s">
        <v>79</v>
      </c>
      <c r="K28">
        <v>246</v>
      </c>
      <c r="L28">
        <v>10</v>
      </c>
      <c r="M28">
        <v>12</v>
      </c>
      <c r="N28">
        <v>8.5714287999999996</v>
      </c>
      <c r="O28">
        <v>0</v>
      </c>
      <c r="Q28">
        <v>140</v>
      </c>
      <c r="R28">
        <v>7</v>
      </c>
      <c r="S28">
        <v>129</v>
      </c>
      <c r="T28">
        <v>63</v>
      </c>
      <c r="U28">
        <v>0</v>
      </c>
      <c r="V28">
        <v>0</v>
      </c>
      <c r="W28">
        <v>0</v>
      </c>
    </row>
    <row r="29" spans="1:23">
      <c r="A29" t="s">
        <v>147</v>
      </c>
      <c r="B29">
        <v>127</v>
      </c>
      <c r="C29" t="s">
        <v>148</v>
      </c>
      <c r="D29" t="s">
        <v>60</v>
      </c>
      <c r="E29" t="s">
        <v>149</v>
      </c>
      <c r="F29" t="s">
        <v>62</v>
      </c>
      <c r="G29" t="s">
        <v>76</v>
      </c>
      <c r="H29" t="s">
        <v>109</v>
      </c>
      <c r="I29" t="s">
        <v>110</v>
      </c>
      <c r="J29" t="s">
        <v>71</v>
      </c>
      <c r="K29">
        <v>598</v>
      </c>
      <c r="L29">
        <v>22</v>
      </c>
      <c r="M29">
        <v>31</v>
      </c>
      <c r="N29">
        <v>5.4290719000000003</v>
      </c>
      <c r="O29">
        <v>0</v>
      </c>
      <c r="Q29">
        <v>571</v>
      </c>
      <c r="R29">
        <v>19</v>
      </c>
      <c r="S29">
        <v>107</v>
      </c>
      <c r="T29">
        <v>206</v>
      </c>
      <c r="U29">
        <v>0</v>
      </c>
      <c r="V29">
        <v>0</v>
      </c>
      <c r="W29">
        <v>0</v>
      </c>
    </row>
    <row r="30" spans="1:23">
      <c r="A30" t="s">
        <v>150</v>
      </c>
      <c r="B30">
        <v>139</v>
      </c>
      <c r="C30" t="s">
        <v>148</v>
      </c>
      <c r="D30" t="s">
        <v>81</v>
      </c>
      <c r="E30" t="s">
        <v>151</v>
      </c>
      <c r="F30" t="s">
        <v>92</v>
      </c>
      <c r="G30" t="s">
        <v>87</v>
      </c>
      <c r="H30" t="s">
        <v>152</v>
      </c>
      <c r="I30" t="s">
        <v>105</v>
      </c>
      <c r="J30" t="s">
        <v>66</v>
      </c>
      <c r="K30">
        <v>142</v>
      </c>
      <c r="L30">
        <v>8</v>
      </c>
      <c r="M30">
        <v>19</v>
      </c>
      <c r="N30">
        <v>14.84375</v>
      </c>
      <c r="O30">
        <v>0</v>
      </c>
      <c r="Q30">
        <v>128</v>
      </c>
      <c r="R30">
        <v>8</v>
      </c>
      <c r="S30">
        <v>104</v>
      </c>
      <c r="T30">
        <v>41</v>
      </c>
      <c r="U30">
        <v>1</v>
      </c>
      <c r="V30">
        <v>0</v>
      </c>
      <c r="W30">
        <v>1</v>
      </c>
    </row>
    <row r="31" spans="1:23">
      <c r="A31" t="s">
        <v>153</v>
      </c>
      <c r="B31">
        <v>140</v>
      </c>
      <c r="C31" t="s">
        <v>148</v>
      </c>
      <c r="D31" t="s">
        <v>60</v>
      </c>
      <c r="E31" t="s">
        <v>154</v>
      </c>
      <c r="F31" t="s">
        <v>62</v>
      </c>
      <c r="G31" t="s">
        <v>87</v>
      </c>
      <c r="H31" t="s">
        <v>155</v>
      </c>
      <c r="I31" t="s">
        <v>110</v>
      </c>
      <c r="J31" t="s">
        <v>66</v>
      </c>
      <c r="K31">
        <v>201</v>
      </c>
      <c r="L31">
        <v>6</v>
      </c>
      <c r="M31">
        <v>12</v>
      </c>
      <c r="N31">
        <v>6.5217390999999996</v>
      </c>
      <c r="O31">
        <v>0</v>
      </c>
      <c r="Q31">
        <v>184</v>
      </c>
      <c r="R31">
        <v>6</v>
      </c>
      <c r="S31">
        <v>115</v>
      </c>
      <c r="T31">
        <v>123</v>
      </c>
      <c r="U31">
        <v>0</v>
      </c>
      <c r="V31">
        <v>0</v>
      </c>
      <c r="W31">
        <v>0</v>
      </c>
    </row>
    <row r="32" spans="1:23">
      <c r="A32" t="s">
        <v>156</v>
      </c>
      <c r="B32">
        <v>142</v>
      </c>
      <c r="C32" t="s">
        <v>148</v>
      </c>
      <c r="D32" t="s">
        <v>60</v>
      </c>
      <c r="E32" t="s">
        <v>157</v>
      </c>
      <c r="F32" t="s">
        <v>62</v>
      </c>
      <c r="G32" t="s">
        <v>99</v>
      </c>
      <c r="H32" t="s">
        <v>155</v>
      </c>
      <c r="I32" t="s">
        <v>110</v>
      </c>
      <c r="J32" t="s">
        <v>66</v>
      </c>
      <c r="K32">
        <v>232</v>
      </c>
      <c r="L32">
        <v>6</v>
      </c>
      <c r="M32">
        <v>13</v>
      </c>
      <c r="N32">
        <v>6.0465115999999997</v>
      </c>
      <c r="O32">
        <v>0</v>
      </c>
      <c r="Q32">
        <v>215</v>
      </c>
      <c r="R32">
        <v>6</v>
      </c>
      <c r="S32">
        <v>118</v>
      </c>
      <c r="T32">
        <v>79</v>
      </c>
      <c r="U32">
        <v>0</v>
      </c>
      <c r="V32">
        <v>0</v>
      </c>
      <c r="W32">
        <v>0</v>
      </c>
    </row>
    <row r="33" spans="1:23">
      <c r="A33" t="s">
        <v>158</v>
      </c>
      <c r="B33">
        <v>145</v>
      </c>
      <c r="C33" t="s">
        <v>148</v>
      </c>
      <c r="D33" t="s">
        <v>60</v>
      </c>
      <c r="E33" t="s">
        <v>159</v>
      </c>
      <c r="F33" t="s">
        <v>62</v>
      </c>
      <c r="G33" t="s">
        <v>99</v>
      </c>
      <c r="H33" t="s">
        <v>160</v>
      </c>
      <c r="I33" t="s">
        <v>161</v>
      </c>
      <c r="J33" t="s">
        <v>71</v>
      </c>
      <c r="K33">
        <v>874</v>
      </c>
      <c r="L33">
        <v>35</v>
      </c>
      <c r="M33">
        <v>91</v>
      </c>
      <c r="N33">
        <v>11.43</v>
      </c>
      <c r="O33">
        <v>0</v>
      </c>
      <c r="Q33">
        <v>796</v>
      </c>
      <c r="R33">
        <v>33</v>
      </c>
      <c r="S33">
        <v>82</v>
      </c>
      <c r="T33">
        <v>65</v>
      </c>
      <c r="U33">
        <v>0</v>
      </c>
      <c r="V33">
        <v>0</v>
      </c>
      <c r="W33">
        <v>0</v>
      </c>
    </row>
    <row r="34" spans="1:23">
      <c r="A34" t="s">
        <v>162</v>
      </c>
      <c r="B34">
        <v>149</v>
      </c>
      <c r="C34" t="s">
        <v>148</v>
      </c>
      <c r="D34" t="s">
        <v>81</v>
      </c>
      <c r="E34" t="s">
        <v>163</v>
      </c>
      <c r="F34" t="s">
        <v>62</v>
      </c>
      <c r="G34" t="s">
        <v>76</v>
      </c>
      <c r="H34" t="s">
        <v>164</v>
      </c>
      <c r="I34" t="s">
        <v>161</v>
      </c>
      <c r="J34" t="s">
        <v>66</v>
      </c>
      <c r="K34">
        <v>85</v>
      </c>
      <c r="L34">
        <v>7</v>
      </c>
      <c r="M34">
        <v>9</v>
      </c>
      <c r="N34">
        <v>20.45</v>
      </c>
      <c r="O34">
        <v>0</v>
      </c>
      <c r="Q34">
        <v>44</v>
      </c>
      <c r="R34">
        <v>5</v>
      </c>
      <c r="S34">
        <v>129</v>
      </c>
      <c r="T34">
        <v>70</v>
      </c>
      <c r="U34">
        <v>1</v>
      </c>
      <c r="V34">
        <v>0</v>
      </c>
      <c r="W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showGridLines="0" topLeftCell="B1" workbookViewId="0">
      <selection activeCell="I14" sqref="I14"/>
    </sheetView>
  </sheetViews>
  <sheetFormatPr baseColWidth="10" defaultColWidth="8.83203125" defaultRowHeight="15"/>
  <cols>
    <col min="1" max="1" width="17.83203125" customWidth="1"/>
    <col min="2" max="2" width="186" bestFit="1" customWidth="1"/>
    <col min="3" max="4" width="10.5" customWidth="1"/>
    <col min="5" max="6" width="13.5" customWidth="1"/>
    <col min="7" max="8" width="12.83203125" customWidth="1"/>
    <col min="9" max="9" width="15.33203125" customWidth="1"/>
    <col min="10" max="10" width="11.6640625" customWidth="1"/>
    <col min="11" max="11" width="10.5" customWidth="1"/>
    <col min="12" max="12" width="12.83203125" customWidth="1"/>
    <col min="13" max="13" width="17.83203125" customWidth="1"/>
    <col min="14" max="14" width="19" customWidth="1"/>
    <col min="15" max="15" width="75.5" customWidth="1"/>
  </cols>
  <sheetData>
    <row r="1" spans="1:15" ht="32">
      <c r="A1" s="1" t="s">
        <v>49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</row>
    <row r="2" spans="1:15">
      <c r="A2" t="s">
        <v>66</v>
      </c>
      <c r="B2">
        <v>17</v>
      </c>
      <c r="C2">
        <v>85</v>
      </c>
      <c r="D2">
        <v>232</v>
      </c>
      <c r="E2">
        <v>176.52941176470588</v>
      </c>
      <c r="F2">
        <v>187</v>
      </c>
      <c r="G2">
        <v>5.882352941176471</v>
      </c>
      <c r="H2">
        <v>8.2150256800000001</v>
      </c>
      <c r="I2">
        <v>141.23529411764707</v>
      </c>
      <c r="J2">
        <v>0.17647058823529413</v>
      </c>
      <c r="K2">
        <v>0</v>
      </c>
      <c r="L2">
        <v>0.11764705882352941</v>
      </c>
      <c r="M2" t="s">
        <v>99</v>
      </c>
      <c r="N2" t="s">
        <v>89</v>
      </c>
      <c r="O2" t="s">
        <v>179</v>
      </c>
    </row>
    <row r="3" spans="1:15">
      <c r="A3" t="s">
        <v>79</v>
      </c>
      <c r="B3">
        <v>8</v>
      </c>
      <c r="C3">
        <v>242</v>
      </c>
      <c r="D3">
        <v>359</v>
      </c>
      <c r="E3">
        <v>302.5</v>
      </c>
      <c r="F3">
        <v>304</v>
      </c>
      <c r="G3">
        <v>8.375</v>
      </c>
      <c r="H3">
        <v>9.8986841874999989</v>
      </c>
      <c r="I3">
        <v>163.25</v>
      </c>
      <c r="J3">
        <v>0.25</v>
      </c>
      <c r="K3">
        <v>0</v>
      </c>
      <c r="L3">
        <v>0.125</v>
      </c>
      <c r="M3" t="s">
        <v>76</v>
      </c>
      <c r="N3" t="s">
        <v>78</v>
      </c>
      <c r="O3" t="s">
        <v>180</v>
      </c>
    </row>
    <row r="4" spans="1:15">
      <c r="A4" t="s">
        <v>71</v>
      </c>
      <c r="B4">
        <v>6</v>
      </c>
      <c r="C4">
        <v>498</v>
      </c>
      <c r="D4">
        <v>874</v>
      </c>
      <c r="E4">
        <v>682.66666666666663</v>
      </c>
      <c r="F4">
        <v>639.5</v>
      </c>
      <c r="G4">
        <v>19.333333333333332</v>
      </c>
      <c r="H4">
        <v>6.012364616666666</v>
      </c>
      <c r="I4">
        <v>101.66666666666667</v>
      </c>
      <c r="J4">
        <v>0</v>
      </c>
      <c r="K4">
        <v>0</v>
      </c>
      <c r="L4">
        <v>0</v>
      </c>
      <c r="M4" t="s">
        <v>63</v>
      </c>
      <c r="N4" t="s">
        <v>110</v>
      </c>
      <c r="O4" t="s">
        <v>181</v>
      </c>
    </row>
    <row r="7" spans="1:15" ht="32">
      <c r="A7" s="1" t="s">
        <v>41</v>
      </c>
      <c r="B7" s="1" t="s">
        <v>44</v>
      </c>
      <c r="C7" s="1" t="s">
        <v>12</v>
      </c>
      <c r="D7" s="1" t="s">
        <v>40</v>
      </c>
      <c r="E7" s="1" t="s">
        <v>43</v>
      </c>
      <c r="F7" s="1" t="s">
        <v>45</v>
      </c>
      <c r="G7" s="1" t="s">
        <v>46</v>
      </c>
      <c r="H7" s="1" t="s">
        <v>48</v>
      </c>
      <c r="I7" s="1" t="s">
        <v>56</v>
      </c>
      <c r="J7" s="1" t="s">
        <v>51</v>
      </c>
    </row>
    <row r="8" spans="1:15">
      <c r="A8" t="s">
        <v>158</v>
      </c>
      <c r="B8" t="s">
        <v>159</v>
      </c>
      <c r="C8">
        <v>874</v>
      </c>
      <c r="D8">
        <v>35</v>
      </c>
      <c r="E8" t="s">
        <v>60</v>
      </c>
      <c r="F8" t="s">
        <v>62</v>
      </c>
      <c r="G8" t="s">
        <v>99</v>
      </c>
      <c r="H8" t="s">
        <v>161</v>
      </c>
      <c r="I8">
        <v>82</v>
      </c>
      <c r="J8">
        <v>11.43</v>
      </c>
    </row>
    <row r="9" spans="1:15">
      <c r="A9" t="s">
        <v>67</v>
      </c>
      <c r="B9" t="s">
        <v>69</v>
      </c>
      <c r="C9">
        <v>862</v>
      </c>
      <c r="D9">
        <v>13</v>
      </c>
      <c r="E9" t="s">
        <v>60</v>
      </c>
      <c r="F9" t="s">
        <v>62</v>
      </c>
      <c r="G9" t="s">
        <v>63</v>
      </c>
      <c r="H9" t="s">
        <v>65</v>
      </c>
      <c r="I9">
        <v>27</v>
      </c>
      <c r="J9">
        <v>7.9326919999999994</v>
      </c>
    </row>
    <row r="10" spans="1:15">
      <c r="A10" t="s">
        <v>107</v>
      </c>
      <c r="B10" t="s">
        <v>108</v>
      </c>
      <c r="C10">
        <v>681</v>
      </c>
      <c r="D10">
        <v>22</v>
      </c>
      <c r="E10" t="s">
        <v>60</v>
      </c>
      <c r="F10" t="s">
        <v>62</v>
      </c>
      <c r="G10" t="s">
        <v>76</v>
      </c>
      <c r="H10" t="s">
        <v>110</v>
      </c>
      <c r="I10">
        <v>147</v>
      </c>
      <c r="J10">
        <v>0.95</v>
      </c>
    </row>
    <row r="11" spans="1:15">
      <c r="A11" t="s">
        <v>147</v>
      </c>
      <c r="B11" t="s">
        <v>149</v>
      </c>
      <c r="C11">
        <v>598</v>
      </c>
      <c r="D11">
        <v>22</v>
      </c>
      <c r="E11" t="s">
        <v>60</v>
      </c>
      <c r="F11" t="s">
        <v>62</v>
      </c>
      <c r="G11" t="s">
        <v>76</v>
      </c>
      <c r="H11" t="s">
        <v>110</v>
      </c>
      <c r="I11">
        <v>107</v>
      </c>
      <c r="J11">
        <v>5.4290719000000003</v>
      </c>
    </row>
    <row r="12" spans="1:15">
      <c r="A12" t="s">
        <v>67</v>
      </c>
      <c r="B12" t="s">
        <v>73</v>
      </c>
      <c r="C12">
        <v>583</v>
      </c>
      <c r="D12">
        <v>9</v>
      </c>
      <c r="E12" t="s">
        <v>72</v>
      </c>
      <c r="F12" t="s">
        <v>62</v>
      </c>
      <c r="G12" t="s">
        <v>63</v>
      </c>
      <c r="H12" t="s">
        <v>65</v>
      </c>
      <c r="I12">
        <v>153</v>
      </c>
      <c r="J12">
        <v>6.5026365000000004</v>
      </c>
    </row>
    <row r="13" spans="1:15">
      <c r="A13" t="s">
        <v>132</v>
      </c>
      <c r="B13" t="s">
        <v>133</v>
      </c>
      <c r="C13">
        <v>498</v>
      </c>
      <c r="D13">
        <v>15</v>
      </c>
      <c r="E13" t="s">
        <v>60</v>
      </c>
      <c r="F13" t="s">
        <v>62</v>
      </c>
      <c r="G13" t="s">
        <v>99</v>
      </c>
      <c r="H13" t="s">
        <v>110</v>
      </c>
      <c r="I13">
        <v>94</v>
      </c>
      <c r="J13">
        <v>3.8297873</v>
      </c>
    </row>
    <row r="14" spans="1:15">
      <c r="A14" t="s">
        <v>90</v>
      </c>
      <c r="B14" t="s">
        <v>91</v>
      </c>
      <c r="C14">
        <v>359</v>
      </c>
      <c r="D14">
        <v>10</v>
      </c>
      <c r="E14" t="s">
        <v>60</v>
      </c>
      <c r="F14" t="s">
        <v>92</v>
      </c>
      <c r="G14" t="s">
        <v>87</v>
      </c>
      <c r="H14" t="s">
        <v>78</v>
      </c>
      <c r="I14">
        <v>283</v>
      </c>
      <c r="J14">
        <v>3.1791906999999999</v>
      </c>
    </row>
    <row r="15" spans="1:15">
      <c r="A15" t="s">
        <v>139</v>
      </c>
      <c r="B15" t="s">
        <v>140</v>
      </c>
      <c r="C15">
        <v>358</v>
      </c>
      <c r="D15">
        <v>7</v>
      </c>
      <c r="E15" t="s">
        <v>60</v>
      </c>
      <c r="F15" t="s">
        <v>62</v>
      </c>
      <c r="G15" t="s">
        <v>76</v>
      </c>
      <c r="H15" t="s">
        <v>84</v>
      </c>
      <c r="I15">
        <v>105</v>
      </c>
      <c r="J15">
        <v>4.7210302000000004</v>
      </c>
    </row>
    <row r="16" spans="1:15">
      <c r="A16" t="s">
        <v>96</v>
      </c>
      <c r="B16" t="s">
        <v>98</v>
      </c>
      <c r="C16">
        <v>339</v>
      </c>
      <c r="D16">
        <v>9</v>
      </c>
      <c r="E16" t="s">
        <v>81</v>
      </c>
      <c r="F16" t="s">
        <v>62</v>
      </c>
      <c r="G16" t="s">
        <v>99</v>
      </c>
      <c r="H16" t="s">
        <v>101</v>
      </c>
      <c r="I16">
        <v>143</v>
      </c>
      <c r="J16">
        <v>25.8899689</v>
      </c>
    </row>
    <row r="17" spans="1:10">
      <c r="A17" t="s">
        <v>94</v>
      </c>
      <c r="B17" t="s">
        <v>95</v>
      </c>
      <c r="C17">
        <v>314</v>
      </c>
      <c r="D17">
        <v>7</v>
      </c>
      <c r="E17" t="s">
        <v>60</v>
      </c>
      <c r="F17" t="s">
        <v>62</v>
      </c>
      <c r="G17" t="s">
        <v>63</v>
      </c>
      <c r="H17" t="s">
        <v>78</v>
      </c>
      <c r="I17">
        <v>147</v>
      </c>
      <c r="J17">
        <v>2.0066888999999999</v>
      </c>
    </row>
    <row r="20" spans="1:10" ht="32">
      <c r="A20" s="1" t="s">
        <v>7</v>
      </c>
      <c r="B20" s="1" t="s">
        <v>182</v>
      </c>
      <c r="C20" s="1" t="s">
        <v>183</v>
      </c>
      <c r="D20" s="1" t="s">
        <v>184</v>
      </c>
      <c r="E20" s="1" t="s">
        <v>185</v>
      </c>
      <c r="F20" s="1" t="s">
        <v>186</v>
      </c>
      <c r="G20" s="1" t="s">
        <v>187</v>
      </c>
    </row>
    <row r="21" spans="1:10">
      <c r="A21" t="s">
        <v>50</v>
      </c>
      <c r="B21" t="s">
        <v>188</v>
      </c>
      <c r="C21">
        <v>41.333333333333336</v>
      </c>
      <c r="D21">
        <v>15.478260869565217</v>
      </c>
      <c r="E21">
        <v>25.855072463768117</v>
      </c>
      <c r="F21">
        <v>6</v>
      </c>
      <c r="G21">
        <v>25</v>
      </c>
    </row>
    <row r="22" spans="1:10">
      <c r="A22" t="s">
        <v>35</v>
      </c>
      <c r="B22" t="s">
        <v>188</v>
      </c>
      <c r="C22">
        <v>88.666666666666671</v>
      </c>
      <c r="D22">
        <v>72.400000000000006</v>
      </c>
      <c r="E22">
        <v>16.266666666666666</v>
      </c>
      <c r="F22">
        <v>6</v>
      </c>
      <c r="G22">
        <v>25</v>
      </c>
    </row>
    <row r="23" spans="1:10">
      <c r="A23" t="s">
        <v>48</v>
      </c>
      <c r="B23" t="s">
        <v>110</v>
      </c>
      <c r="C23">
        <v>0.5</v>
      </c>
      <c r="D23">
        <v>0.16</v>
      </c>
      <c r="E23">
        <v>0.33999999999999997</v>
      </c>
      <c r="F23">
        <v>3</v>
      </c>
      <c r="G23">
        <v>4</v>
      </c>
    </row>
    <row r="24" spans="1:10">
      <c r="A24" t="s">
        <v>48</v>
      </c>
      <c r="B24" t="s">
        <v>65</v>
      </c>
      <c r="C24">
        <v>0.33333333333333331</v>
      </c>
      <c r="D24">
        <v>0.04</v>
      </c>
      <c r="E24">
        <v>0.29333333333333333</v>
      </c>
      <c r="F24">
        <v>2</v>
      </c>
      <c r="G24">
        <v>1</v>
      </c>
    </row>
    <row r="25" spans="1:10">
      <c r="A25" t="s">
        <v>43</v>
      </c>
      <c r="B25" t="s">
        <v>72</v>
      </c>
      <c r="C25">
        <v>0.16666666666666666</v>
      </c>
      <c r="D25">
        <v>0</v>
      </c>
      <c r="E25">
        <v>0.16666666666666666</v>
      </c>
      <c r="F25">
        <v>1</v>
      </c>
      <c r="G25">
        <v>0</v>
      </c>
    </row>
    <row r="26" spans="1:10">
      <c r="A26" t="s">
        <v>46</v>
      </c>
      <c r="B26" t="s">
        <v>63</v>
      </c>
      <c r="C26">
        <v>0.33333333333333331</v>
      </c>
      <c r="D26">
        <v>0.2</v>
      </c>
      <c r="E26">
        <v>0.1333333333333333</v>
      </c>
      <c r="F26">
        <v>2</v>
      </c>
      <c r="G26">
        <v>5</v>
      </c>
    </row>
    <row r="27" spans="1:10">
      <c r="A27" t="s">
        <v>48</v>
      </c>
      <c r="B27" t="s">
        <v>161</v>
      </c>
      <c r="C27">
        <v>0.16666666666666666</v>
      </c>
      <c r="D27">
        <v>0.04</v>
      </c>
      <c r="E27">
        <v>0.12666666666666665</v>
      </c>
      <c r="F27">
        <v>1</v>
      </c>
      <c r="G27">
        <v>1</v>
      </c>
    </row>
    <row r="28" spans="1:10">
      <c r="A28" t="s">
        <v>45</v>
      </c>
      <c r="B28" t="s">
        <v>62</v>
      </c>
      <c r="C28">
        <v>1</v>
      </c>
      <c r="D28">
        <v>0.88</v>
      </c>
      <c r="E28">
        <v>0.12</v>
      </c>
      <c r="F28">
        <v>6</v>
      </c>
      <c r="G28">
        <v>22</v>
      </c>
    </row>
    <row r="29" spans="1:10">
      <c r="A29" t="s">
        <v>46</v>
      </c>
      <c r="B29" t="s">
        <v>99</v>
      </c>
      <c r="C29">
        <v>0.33333333333333331</v>
      </c>
      <c r="D29">
        <v>0.24</v>
      </c>
      <c r="E29">
        <v>9.3333333333333324E-2</v>
      </c>
      <c r="F29">
        <v>2</v>
      </c>
      <c r="G29">
        <v>6</v>
      </c>
    </row>
    <row r="30" spans="1:10">
      <c r="A30" t="s">
        <v>43</v>
      </c>
      <c r="B30" t="s">
        <v>60</v>
      </c>
      <c r="C30">
        <v>0.83333333333333337</v>
      </c>
      <c r="D30">
        <v>0.8</v>
      </c>
      <c r="E30">
        <v>3.3333333333333326E-2</v>
      </c>
      <c r="F30">
        <v>5</v>
      </c>
      <c r="G30">
        <v>20</v>
      </c>
    </row>
    <row r="31" spans="1:10">
      <c r="A31" t="s">
        <v>46</v>
      </c>
      <c r="B31" t="s">
        <v>76</v>
      </c>
      <c r="C31">
        <v>0.33333333333333331</v>
      </c>
      <c r="D31">
        <v>0.36</v>
      </c>
      <c r="E31">
        <v>-2.6666666666666672E-2</v>
      </c>
      <c r="F31">
        <v>2</v>
      </c>
      <c r="G31">
        <v>9</v>
      </c>
    </row>
    <row r="32" spans="1:10">
      <c r="A32" t="s">
        <v>48</v>
      </c>
      <c r="B32" t="s">
        <v>122</v>
      </c>
      <c r="C32">
        <v>0</v>
      </c>
      <c r="D32">
        <v>0.04</v>
      </c>
      <c r="E32">
        <v>-0.04</v>
      </c>
      <c r="F32">
        <v>0</v>
      </c>
      <c r="G32">
        <v>1</v>
      </c>
    </row>
    <row r="33" spans="1:7">
      <c r="A33" t="s">
        <v>45</v>
      </c>
      <c r="B33" t="s">
        <v>92</v>
      </c>
      <c r="C33">
        <v>0</v>
      </c>
      <c r="D33">
        <v>0.12</v>
      </c>
      <c r="E33">
        <v>-0.12</v>
      </c>
      <c r="F33">
        <v>0</v>
      </c>
      <c r="G33">
        <v>3</v>
      </c>
    </row>
    <row r="34" spans="1:7">
      <c r="A34" t="s">
        <v>48</v>
      </c>
      <c r="B34" t="s">
        <v>84</v>
      </c>
      <c r="C34">
        <v>0</v>
      </c>
      <c r="D34">
        <v>0.12</v>
      </c>
      <c r="E34">
        <v>-0.12</v>
      </c>
      <c r="F34">
        <v>0</v>
      </c>
      <c r="G34">
        <v>3</v>
      </c>
    </row>
    <row r="35" spans="1:7">
      <c r="A35" t="s">
        <v>48</v>
      </c>
      <c r="B35" t="s">
        <v>105</v>
      </c>
      <c r="C35">
        <v>0</v>
      </c>
      <c r="D35">
        <v>0.12</v>
      </c>
      <c r="E35">
        <v>-0.12</v>
      </c>
      <c r="F35">
        <v>0</v>
      </c>
      <c r="G35">
        <v>3</v>
      </c>
    </row>
    <row r="36" spans="1:7">
      <c r="A36" t="s">
        <v>48</v>
      </c>
      <c r="B36" t="s">
        <v>101</v>
      </c>
      <c r="C36">
        <v>0</v>
      </c>
      <c r="D36">
        <v>0.12</v>
      </c>
      <c r="E36">
        <v>-0.12</v>
      </c>
      <c r="F36">
        <v>0</v>
      </c>
      <c r="G36">
        <v>3</v>
      </c>
    </row>
    <row r="37" spans="1:7">
      <c r="A37" t="s">
        <v>48</v>
      </c>
      <c r="B37" t="s">
        <v>89</v>
      </c>
      <c r="C37">
        <v>0</v>
      </c>
      <c r="D37">
        <v>0.16</v>
      </c>
      <c r="E37">
        <v>-0.16</v>
      </c>
      <c r="F37">
        <v>0</v>
      </c>
      <c r="G37">
        <v>4</v>
      </c>
    </row>
    <row r="38" spans="1:7">
      <c r="A38" t="s">
        <v>48</v>
      </c>
      <c r="B38" t="s">
        <v>78</v>
      </c>
      <c r="C38">
        <v>0</v>
      </c>
      <c r="D38">
        <v>0.2</v>
      </c>
      <c r="E38">
        <v>-0.2</v>
      </c>
      <c r="F38">
        <v>0</v>
      </c>
      <c r="G38">
        <v>5</v>
      </c>
    </row>
    <row r="39" spans="1:7">
      <c r="A39" t="s">
        <v>46</v>
      </c>
      <c r="B39" t="s">
        <v>87</v>
      </c>
      <c r="C39">
        <v>0</v>
      </c>
      <c r="D39">
        <v>0.2</v>
      </c>
      <c r="E39">
        <v>-0.2</v>
      </c>
      <c r="F39">
        <v>0</v>
      </c>
      <c r="G39">
        <v>5</v>
      </c>
    </row>
    <row r="40" spans="1:7">
      <c r="A40" t="s">
        <v>43</v>
      </c>
      <c r="B40" t="s">
        <v>81</v>
      </c>
      <c r="C40">
        <v>0</v>
      </c>
      <c r="D40">
        <v>0.2</v>
      </c>
      <c r="E40">
        <v>-0.2</v>
      </c>
      <c r="F40">
        <v>0</v>
      </c>
      <c r="G40">
        <v>5</v>
      </c>
    </row>
    <row r="41" spans="1:7">
      <c r="A41" t="s">
        <v>22</v>
      </c>
      <c r="B41" t="s">
        <v>188</v>
      </c>
      <c r="C41">
        <v>91.333333333333329</v>
      </c>
      <c r="D41">
        <v>92.04</v>
      </c>
      <c r="E41">
        <v>-0.70666666666667766</v>
      </c>
      <c r="F41">
        <v>6</v>
      </c>
      <c r="G41">
        <v>25</v>
      </c>
    </row>
    <row r="42" spans="1:7">
      <c r="A42" t="s">
        <v>51</v>
      </c>
      <c r="B42" t="s">
        <v>188</v>
      </c>
      <c r="C42">
        <v>6.012364616666666</v>
      </c>
      <c r="D42">
        <v>8.8006460304347804</v>
      </c>
      <c r="E42">
        <v>-2.7882814137681144</v>
      </c>
      <c r="F42">
        <v>6</v>
      </c>
      <c r="G42">
        <v>25</v>
      </c>
    </row>
    <row r="43" spans="1:7">
      <c r="A43" t="s">
        <v>56</v>
      </c>
      <c r="B43" t="s">
        <v>188</v>
      </c>
      <c r="C43">
        <v>101.66666666666667</v>
      </c>
      <c r="D43">
        <v>148.28</v>
      </c>
      <c r="E43">
        <v>-46.61333333333333</v>
      </c>
      <c r="F43">
        <v>6</v>
      </c>
      <c r="G43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showGridLines="0" tabSelected="1" topLeftCell="A10" workbookViewId="0">
      <selection activeCell="C7" sqref="C7"/>
    </sheetView>
  </sheetViews>
  <sheetFormatPr baseColWidth="10" defaultColWidth="8.83203125" defaultRowHeight="15"/>
  <cols>
    <col min="1" max="1" width="14.1640625" customWidth="1"/>
    <col min="2" max="2" width="8" customWidth="1"/>
    <col min="3" max="4" width="15.33203125" customWidth="1"/>
    <col min="5" max="6" width="14.1640625" customWidth="1"/>
    <col min="8" max="8" width="12.83203125" customWidth="1"/>
    <col min="9" max="9" width="6.6640625" customWidth="1"/>
    <col min="10" max="11" width="14.1640625" customWidth="1"/>
    <col min="12" max="12" width="11.6640625" customWidth="1"/>
    <col min="13" max="13" width="10.5" customWidth="1"/>
    <col min="14" max="15" width="11.6640625" customWidth="1"/>
  </cols>
  <sheetData>
    <row r="1" spans="1:15" ht="32">
      <c r="A1" s="1" t="s">
        <v>189</v>
      </c>
      <c r="B1" s="1" t="s">
        <v>165</v>
      </c>
      <c r="C1" s="1" t="s">
        <v>190</v>
      </c>
      <c r="D1" s="1" t="s">
        <v>168</v>
      </c>
      <c r="E1" s="1" t="s">
        <v>191</v>
      </c>
      <c r="F1" s="1" t="s">
        <v>170</v>
      </c>
      <c r="H1" s="1" t="s">
        <v>6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</row>
    <row r="2" spans="1:15">
      <c r="A2" t="s">
        <v>199</v>
      </c>
      <c r="B2">
        <v>1</v>
      </c>
      <c r="C2">
        <v>221</v>
      </c>
      <c r="D2">
        <v>221</v>
      </c>
      <c r="E2">
        <v>1</v>
      </c>
      <c r="F2">
        <v>1</v>
      </c>
      <c r="H2" t="s">
        <v>12</v>
      </c>
      <c r="I2">
        <v>31</v>
      </c>
      <c r="J2">
        <v>-0.5780680059073916</v>
      </c>
      <c r="K2">
        <v>-4.0464760413517409</v>
      </c>
      <c r="L2">
        <v>360.12631447839283</v>
      </c>
      <c r="M2">
        <v>9.3384089064243447E-3</v>
      </c>
      <c r="N2" t="s">
        <v>58</v>
      </c>
      <c r="O2" t="s">
        <v>162</v>
      </c>
    </row>
    <row r="3" spans="1:15">
      <c r="A3" t="s">
        <v>200</v>
      </c>
      <c r="B3">
        <v>2</v>
      </c>
      <c r="C3">
        <v>1445</v>
      </c>
      <c r="D3">
        <v>722.5</v>
      </c>
      <c r="E3">
        <v>22</v>
      </c>
      <c r="F3">
        <v>11</v>
      </c>
      <c r="H3" t="s">
        <v>40</v>
      </c>
      <c r="I3">
        <v>31</v>
      </c>
      <c r="J3">
        <v>5.6190281311719464E-2</v>
      </c>
      <c r="K3">
        <v>0.39333196918203628</v>
      </c>
      <c r="L3">
        <v>3.9649641465455439</v>
      </c>
      <c r="M3">
        <v>8.8506209221580812E-2</v>
      </c>
      <c r="N3" t="s">
        <v>58</v>
      </c>
      <c r="O3" t="s">
        <v>162</v>
      </c>
    </row>
    <row r="4" spans="1:15">
      <c r="A4" t="s">
        <v>201</v>
      </c>
      <c r="B4">
        <v>3</v>
      </c>
      <c r="C4">
        <v>737</v>
      </c>
      <c r="D4">
        <v>245.66666666666666</v>
      </c>
      <c r="E4">
        <v>21</v>
      </c>
      <c r="F4">
        <v>7</v>
      </c>
    </row>
    <row r="5" spans="1:15">
      <c r="A5" t="s">
        <v>90</v>
      </c>
      <c r="B5">
        <v>2</v>
      </c>
      <c r="C5">
        <v>673</v>
      </c>
      <c r="D5">
        <v>336.5</v>
      </c>
      <c r="E5">
        <v>17</v>
      </c>
      <c r="F5">
        <v>8.5</v>
      </c>
    </row>
    <row r="6" spans="1:15">
      <c r="A6" t="s">
        <v>202</v>
      </c>
      <c r="B6">
        <v>1</v>
      </c>
      <c r="C6">
        <v>339</v>
      </c>
      <c r="D6">
        <v>339</v>
      </c>
      <c r="E6">
        <v>9</v>
      </c>
      <c r="F6">
        <v>9</v>
      </c>
    </row>
    <row r="7" spans="1:15">
      <c r="A7" t="s">
        <v>203</v>
      </c>
      <c r="B7">
        <v>3</v>
      </c>
      <c r="C7">
        <v>1023</v>
      </c>
      <c r="D7">
        <v>341</v>
      </c>
      <c r="E7">
        <v>35</v>
      </c>
      <c r="F7">
        <v>11.666666666666666</v>
      </c>
    </row>
    <row r="8" spans="1:15">
      <c r="A8" t="s">
        <v>204</v>
      </c>
      <c r="B8">
        <v>1</v>
      </c>
      <c r="C8">
        <v>204</v>
      </c>
      <c r="D8">
        <v>204</v>
      </c>
      <c r="E8">
        <v>7</v>
      </c>
      <c r="F8">
        <v>7</v>
      </c>
    </row>
    <row r="9" spans="1:15">
      <c r="A9" t="s">
        <v>113</v>
      </c>
      <c r="B9">
        <v>4</v>
      </c>
      <c r="C9">
        <v>643</v>
      </c>
      <c r="D9">
        <v>160.75</v>
      </c>
      <c r="E9">
        <v>22</v>
      </c>
      <c r="F9">
        <v>5.5</v>
      </c>
    </row>
    <row r="10" spans="1:15">
      <c r="A10" t="s">
        <v>205</v>
      </c>
      <c r="B10">
        <v>2</v>
      </c>
      <c r="C10">
        <v>378</v>
      </c>
      <c r="D10">
        <v>189</v>
      </c>
      <c r="E10">
        <v>12</v>
      </c>
      <c r="F10">
        <v>6</v>
      </c>
    </row>
    <row r="11" spans="1:15">
      <c r="A11" t="s">
        <v>128</v>
      </c>
      <c r="B11">
        <v>2</v>
      </c>
      <c r="C11">
        <v>766</v>
      </c>
      <c r="D11">
        <v>383</v>
      </c>
      <c r="E11">
        <v>24</v>
      </c>
      <c r="F11">
        <v>12</v>
      </c>
    </row>
    <row r="12" spans="1:15">
      <c r="A12" t="s">
        <v>137</v>
      </c>
      <c r="B12">
        <v>3</v>
      </c>
      <c r="C12">
        <v>710</v>
      </c>
      <c r="D12">
        <v>236.66666666666666</v>
      </c>
      <c r="E12">
        <v>19</v>
      </c>
      <c r="F12">
        <v>6.333333333333333</v>
      </c>
    </row>
    <row r="13" spans="1:15">
      <c r="A13" t="s">
        <v>145</v>
      </c>
      <c r="B13">
        <v>1</v>
      </c>
      <c r="C13">
        <v>246</v>
      </c>
      <c r="D13">
        <v>246</v>
      </c>
      <c r="E13">
        <v>10</v>
      </c>
      <c r="F13">
        <v>10</v>
      </c>
    </row>
    <row r="14" spans="1:15">
      <c r="A14" t="s">
        <v>206</v>
      </c>
      <c r="B14">
        <v>1</v>
      </c>
      <c r="C14">
        <v>598</v>
      </c>
      <c r="D14">
        <v>598</v>
      </c>
      <c r="E14">
        <v>22</v>
      </c>
      <c r="F14">
        <v>22</v>
      </c>
    </row>
    <row r="15" spans="1:15">
      <c r="A15" t="s">
        <v>150</v>
      </c>
      <c r="B15">
        <v>4</v>
      </c>
      <c r="C15">
        <v>1449</v>
      </c>
      <c r="D15">
        <v>362.25</v>
      </c>
      <c r="E15">
        <v>55</v>
      </c>
      <c r="F15">
        <v>13.75</v>
      </c>
    </row>
    <row r="16" spans="1:15">
      <c r="A16" t="s">
        <v>207</v>
      </c>
      <c r="B16">
        <v>1</v>
      </c>
      <c r="C16">
        <v>85</v>
      </c>
      <c r="D16">
        <v>85</v>
      </c>
      <c r="E16">
        <v>7</v>
      </c>
      <c r="F16">
        <v>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showGridLines="0" workbookViewId="0">
      <selection activeCell="G1" sqref="G1"/>
    </sheetView>
  </sheetViews>
  <sheetFormatPr baseColWidth="10" defaultColWidth="8.83203125" defaultRowHeight="15"/>
  <cols>
    <col min="1" max="1" width="31.33203125" customWidth="1"/>
    <col min="2" max="2" width="12.83203125" customWidth="1"/>
    <col min="3" max="3" width="25" bestFit="1" customWidth="1"/>
    <col min="4" max="7" width="12.83203125" customWidth="1"/>
  </cols>
  <sheetData>
    <row r="1" spans="1:7" ht="32">
      <c r="A1" s="1" t="s">
        <v>5</v>
      </c>
      <c r="B1" s="1" t="s">
        <v>6</v>
      </c>
      <c r="C1" s="1" t="s">
        <v>192</v>
      </c>
      <c r="D1" s="1" t="s">
        <v>208</v>
      </c>
      <c r="E1" s="1" t="s">
        <v>209</v>
      </c>
      <c r="F1" s="1" t="s">
        <v>210</v>
      </c>
      <c r="G1" s="1" t="s">
        <v>211</v>
      </c>
    </row>
    <row r="2" spans="1:7">
      <c r="A2" t="s">
        <v>11</v>
      </c>
      <c r="B2" t="s">
        <v>12</v>
      </c>
      <c r="C2">
        <v>31</v>
      </c>
      <c r="D2">
        <v>11</v>
      </c>
      <c r="E2">
        <v>0.39100596549307154</v>
      </c>
      <c r="F2">
        <v>3.8430471831165547E-2</v>
      </c>
      <c r="G2">
        <v>338.47441597144245</v>
      </c>
    </row>
    <row r="3" spans="1:7">
      <c r="A3" t="s">
        <v>39</v>
      </c>
      <c r="B3" t="s">
        <v>40</v>
      </c>
      <c r="C3">
        <v>31</v>
      </c>
      <c r="D3">
        <v>11</v>
      </c>
      <c r="E3">
        <v>0.4282027773313819</v>
      </c>
      <c r="F3">
        <v>9.7162279996918732E-2</v>
      </c>
      <c r="G3">
        <v>11.243202838494241</v>
      </c>
    </row>
    <row r="4" spans="1:7">
      <c r="A4" t="s">
        <v>212</v>
      </c>
      <c r="B4" t="s">
        <v>40</v>
      </c>
      <c r="C4">
        <v>31</v>
      </c>
      <c r="D4">
        <v>12</v>
      </c>
      <c r="E4">
        <v>0.9206028909390942</v>
      </c>
      <c r="F4">
        <v>0.86767148489849033</v>
      </c>
      <c r="G4">
        <v>4.7861399416352031</v>
      </c>
    </row>
    <row r="7" spans="1:7" ht="32">
      <c r="A7" s="1" t="s">
        <v>5</v>
      </c>
      <c r="B7" s="1" t="s">
        <v>6</v>
      </c>
      <c r="C7" s="1" t="s">
        <v>7</v>
      </c>
      <c r="D7" s="1" t="s">
        <v>8</v>
      </c>
      <c r="E7" s="1" t="s">
        <v>213</v>
      </c>
      <c r="F7" s="1" t="s">
        <v>214</v>
      </c>
      <c r="G7" s="1" t="s">
        <v>9</v>
      </c>
    </row>
    <row r="8" spans="1:7">
      <c r="A8" t="s">
        <v>11</v>
      </c>
      <c r="B8" t="s">
        <v>12</v>
      </c>
      <c r="C8" t="s">
        <v>13</v>
      </c>
      <c r="D8">
        <v>0.42934754236073441</v>
      </c>
      <c r="E8">
        <v>0.42934754236073441</v>
      </c>
      <c r="F8">
        <v>357.53988315287836</v>
      </c>
      <c r="G8" t="s">
        <v>14</v>
      </c>
    </row>
    <row r="9" spans="1:7">
      <c r="A9" t="s">
        <v>11</v>
      </c>
      <c r="B9" t="s">
        <v>12</v>
      </c>
      <c r="C9" t="s">
        <v>16</v>
      </c>
      <c r="D9">
        <v>0.34197963010623034</v>
      </c>
      <c r="E9">
        <v>0.34197963010623034</v>
      </c>
      <c r="F9">
        <v>236.64106139554539</v>
      </c>
      <c r="G9" t="s">
        <v>14</v>
      </c>
    </row>
    <row r="10" spans="1:7">
      <c r="A10" t="s">
        <v>11</v>
      </c>
      <c r="B10" t="s">
        <v>12</v>
      </c>
      <c r="C10" t="s">
        <v>19</v>
      </c>
      <c r="D10">
        <v>0.31317657279467981</v>
      </c>
      <c r="E10">
        <v>0.31317657279467981</v>
      </c>
      <c r="F10">
        <v>153.23717454421887</v>
      </c>
      <c r="G10" t="s">
        <v>14</v>
      </c>
    </row>
    <row r="11" spans="1:7">
      <c r="A11" t="s">
        <v>11</v>
      </c>
      <c r="B11" t="s">
        <v>12</v>
      </c>
      <c r="C11" t="s">
        <v>22</v>
      </c>
      <c r="D11">
        <v>-0.24094633111065408</v>
      </c>
      <c r="E11">
        <v>0.24094633111065408</v>
      </c>
      <c r="F11">
        <v>-1.4413279472118434</v>
      </c>
      <c r="G11" t="s">
        <v>23</v>
      </c>
    </row>
    <row r="12" spans="1:7">
      <c r="A12" t="s">
        <v>11</v>
      </c>
      <c r="B12" t="s">
        <v>12</v>
      </c>
      <c r="C12" t="s">
        <v>26</v>
      </c>
      <c r="D12">
        <v>-0.17174372308343533</v>
      </c>
      <c r="E12">
        <v>0.17174372308343533</v>
      </c>
      <c r="F12">
        <v>-95.529764379993665</v>
      </c>
      <c r="G12" t="s">
        <v>23</v>
      </c>
    </row>
    <row r="13" spans="1:7">
      <c r="A13" t="s">
        <v>11</v>
      </c>
      <c r="B13" t="s">
        <v>12</v>
      </c>
      <c r="C13" t="s">
        <v>29</v>
      </c>
      <c r="D13">
        <v>0.16981626371206271</v>
      </c>
      <c r="E13">
        <v>0.16981626371206271</v>
      </c>
      <c r="F13">
        <v>117.50846351366883</v>
      </c>
      <c r="G13" t="s">
        <v>14</v>
      </c>
    </row>
    <row r="14" spans="1:7">
      <c r="A14" t="s">
        <v>11</v>
      </c>
      <c r="B14" t="s">
        <v>12</v>
      </c>
      <c r="C14" t="s">
        <v>32</v>
      </c>
      <c r="D14">
        <v>-0.16943097239049881</v>
      </c>
      <c r="E14">
        <v>0.16943097239049881</v>
      </c>
      <c r="F14">
        <v>-94.243332918532388</v>
      </c>
      <c r="G14" t="s">
        <v>23</v>
      </c>
    </row>
    <row r="15" spans="1:7">
      <c r="A15" t="s">
        <v>11</v>
      </c>
      <c r="B15" t="s">
        <v>12</v>
      </c>
      <c r="C15" t="s">
        <v>35</v>
      </c>
      <c r="D15">
        <v>0.15203452558647526</v>
      </c>
      <c r="E15">
        <v>0.15203452558647526</v>
      </c>
      <c r="F15">
        <v>0.8150833828302062</v>
      </c>
      <c r="G15" t="s">
        <v>14</v>
      </c>
    </row>
    <row r="16" spans="1:7">
      <c r="A16" t="s">
        <v>11</v>
      </c>
      <c r="B16" t="s">
        <v>12</v>
      </c>
      <c r="C16" t="s">
        <v>56</v>
      </c>
      <c r="D16">
        <v>-6.5809857685696166E-2</v>
      </c>
      <c r="E16">
        <v>6.5809857685696166E-2</v>
      </c>
      <c r="F16">
        <v>-0.24809536435651269</v>
      </c>
      <c r="G16" t="s">
        <v>23</v>
      </c>
    </row>
    <row r="17" spans="1:7">
      <c r="A17" t="s">
        <v>11</v>
      </c>
      <c r="B17" t="s">
        <v>12</v>
      </c>
      <c r="C17" t="s">
        <v>215</v>
      </c>
      <c r="D17">
        <v>1.3666729601042302E-2</v>
      </c>
      <c r="E17">
        <v>1.3666729601042302E-2</v>
      </c>
      <c r="F17">
        <v>6.3897696144385314</v>
      </c>
      <c r="G17" t="s">
        <v>14</v>
      </c>
    </row>
    <row r="18" spans="1:7">
      <c r="A18" t="s">
        <v>11</v>
      </c>
      <c r="B18" t="s">
        <v>12</v>
      </c>
      <c r="C18" t="s">
        <v>216</v>
      </c>
      <c r="D18">
        <v>1.7641440999069391E-3</v>
      </c>
      <c r="E18">
        <v>1.7641440999069391E-3</v>
      </c>
      <c r="F18">
        <v>0.75431409976856756</v>
      </c>
      <c r="G18" t="s">
        <v>14</v>
      </c>
    </row>
    <row r="19" spans="1:7">
      <c r="A19" t="s">
        <v>39</v>
      </c>
      <c r="B19" t="s">
        <v>40</v>
      </c>
      <c r="C19" t="s">
        <v>13</v>
      </c>
      <c r="D19">
        <v>0.65405805034294784</v>
      </c>
      <c r="E19">
        <v>0.65405805034294784</v>
      </c>
      <c r="F19">
        <v>17.197434120036764</v>
      </c>
      <c r="G19" t="s">
        <v>14</v>
      </c>
    </row>
    <row r="20" spans="1:7">
      <c r="A20" t="s">
        <v>39</v>
      </c>
      <c r="B20" t="s">
        <v>40</v>
      </c>
      <c r="C20" t="s">
        <v>19</v>
      </c>
      <c r="D20">
        <v>0.35613926322147371</v>
      </c>
      <c r="E20">
        <v>0.35613926322147371</v>
      </c>
      <c r="F20">
        <v>5.5020758200854267</v>
      </c>
      <c r="G20" t="s">
        <v>14</v>
      </c>
    </row>
    <row r="21" spans="1:7">
      <c r="A21" t="s">
        <v>39</v>
      </c>
      <c r="B21" t="s">
        <v>40</v>
      </c>
      <c r="C21" t="s">
        <v>29</v>
      </c>
      <c r="D21">
        <v>0.25136676605174013</v>
      </c>
      <c r="E21">
        <v>0.25136676605174013</v>
      </c>
      <c r="F21">
        <v>5.491987884554387</v>
      </c>
      <c r="G21" t="s">
        <v>14</v>
      </c>
    </row>
    <row r="22" spans="1:7">
      <c r="A22" t="s">
        <v>39</v>
      </c>
      <c r="B22" t="s">
        <v>40</v>
      </c>
      <c r="C22" t="s">
        <v>22</v>
      </c>
      <c r="D22">
        <v>-0.21852625106622514</v>
      </c>
      <c r="E22">
        <v>0.21852625106622514</v>
      </c>
      <c r="F22">
        <v>-4.1274132268862312E-2</v>
      </c>
      <c r="G22" t="s">
        <v>23</v>
      </c>
    </row>
    <row r="23" spans="1:7">
      <c r="A23" t="s">
        <v>39</v>
      </c>
      <c r="B23" t="s">
        <v>40</v>
      </c>
      <c r="C23" t="s">
        <v>32</v>
      </c>
      <c r="D23">
        <v>-0.2074162089227598</v>
      </c>
      <c r="E23">
        <v>0.2074162089227598</v>
      </c>
      <c r="F23">
        <v>-3.6427752040803449</v>
      </c>
      <c r="G23" t="s">
        <v>23</v>
      </c>
    </row>
    <row r="24" spans="1:7">
      <c r="A24" t="s">
        <v>39</v>
      </c>
      <c r="B24" t="s">
        <v>40</v>
      </c>
      <c r="C24" t="s">
        <v>35</v>
      </c>
      <c r="D24">
        <v>0.20241733354358737</v>
      </c>
      <c r="E24">
        <v>0.20241733354358737</v>
      </c>
      <c r="F24">
        <v>3.4264102606160203E-2</v>
      </c>
      <c r="G24" t="s">
        <v>14</v>
      </c>
    </row>
    <row r="25" spans="1:7">
      <c r="A25" t="s">
        <v>39</v>
      </c>
      <c r="B25" t="s">
        <v>40</v>
      </c>
      <c r="C25" t="s">
        <v>26</v>
      </c>
      <c r="D25">
        <v>-0.13443325369883952</v>
      </c>
      <c r="E25">
        <v>0.13443325369883952</v>
      </c>
      <c r="F25">
        <v>-2.3610021883984458</v>
      </c>
      <c r="G25" t="s">
        <v>23</v>
      </c>
    </row>
    <row r="26" spans="1:7">
      <c r="A26" t="s">
        <v>39</v>
      </c>
      <c r="B26" t="s">
        <v>40</v>
      </c>
      <c r="C26" t="s">
        <v>16</v>
      </c>
      <c r="D26">
        <v>-8.2697372862294255E-2</v>
      </c>
      <c r="E26">
        <v>8.2697372862294255E-2</v>
      </c>
      <c r="F26">
        <v>-1.8068139116484723</v>
      </c>
      <c r="G26" t="s">
        <v>23</v>
      </c>
    </row>
    <row r="27" spans="1:7">
      <c r="A27" t="s">
        <v>39</v>
      </c>
      <c r="B27" t="s">
        <v>40</v>
      </c>
      <c r="C27" t="s">
        <v>56</v>
      </c>
      <c r="D27">
        <v>-6.9804786307491457E-2</v>
      </c>
      <c r="E27">
        <v>6.9804786307491457E-2</v>
      </c>
      <c r="F27">
        <v>-8.3089232285894141E-3</v>
      </c>
      <c r="G27" t="s">
        <v>23</v>
      </c>
    </row>
    <row r="28" spans="1:7">
      <c r="A28" t="s">
        <v>39</v>
      </c>
      <c r="B28" t="s">
        <v>40</v>
      </c>
      <c r="C28" t="s">
        <v>216</v>
      </c>
      <c r="D28">
        <v>-4.7643635895503134E-2</v>
      </c>
      <c r="E28">
        <v>4.7643635895503134E-2</v>
      </c>
      <c r="F28">
        <v>-0.64321314657290762</v>
      </c>
      <c r="G28" t="s">
        <v>23</v>
      </c>
    </row>
    <row r="29" spans="1:7">
      <c r="A29" t="s">
        <v>39</v>
      </c>
      <c r="B29" t="s">
        <v>40</v>
      </c>
      <c r="C29" t="s">
        <v>215</v>
      </c>
      <c r="D29">
        <v>-1.2054239163478826E-2</v>
      </c>
      <c r="E29">
        <v>1.2054239163478826E-2</v>
      </c>
      <c r="F29">
        <v>-0.1779476463487657</v>
      </c>
      <c r="G29" t="s">
        <v>23</v>
      </c>
    </row>
    <row r="30" spans="1:7">
      <c r="A30" t="s">
        <v>212</v>
      </c>
      <c r="B30" t="s">
        <v>40</v>
      </c>
      <c r="C30" t="s">
        <v>12</v>
      </c>
      <c r="D30">
        <v>0.89919224560747724</v>
      </c>
      <c r="E30">
        <v>0.89919224560747724</v>
      </c>
      <c r="F30">
        <v>2.8391242512797333E-2</v>
      </c>
      <c r="G30" t="s">
        <v>14</v>
      </c>
    </row>
    <row r="31" spans="1:7">
      <c r="A31" t="s">
        <v>212</v>
      </c>
      <c r="B31" t="s">
        <v>40</v>
      </c>
      <c r="C31" t="s">
        <v>16</v>
      </c>
      <c r="D31">
        <v>-0.3902028044095282</v>
      </c>
      <c r="E31">
        <v>0.3902028044095282</v>
      </c>
      <c r="F31">
        <v>-8.5253476742087457</v>
      </c>
      <c r="G31" t="s">
        <v>23</v>
      </c>
    </row>
    <row r="32" spans="1:7">
      <c r="A32" t="s">
        <v>212</v>
      </c>
      <c r="B32" t="s">
        <v>40</v>
      </c>
      <c r="C32" t="s">
        <v>13</v>
      </c>
      <c r="D32">
        <v>0.2679920695815472</v>
      </c>
      <c r="E32">
        <v>0.2679920695815472</v>
      </c>
      <c r="F32">
        <v>7.0464325894445885</v>
      </c>
      <c r="G32" t="s">
        <v>14</v>
      </c>
    </row>
    <row r="33" spans="1:7">
      <c r="A33" t="s">
        <v>212</v>
      </c>
      <c r="B33" t="s">
        <v>40</v>
      </c>
      <c r="C33" t="s">
        <v>29</v>
      </c>
      <c r="D33">
        <v>9.8669298543818881E-2</v>
      </c>
      <c r="E33">
        <v>9.8669298543818881E-2</v>
      </c>
      <c r="F33">
        <v>2.1557765996319458</v>
      </c>
      <c r="G33" t="s">
        <v>14</v>
      </c>
    </row>
    <row r="34" spans="1:7">
      <c r="A34" t="s">
        <v>212</v>
      </c>
      <c r="B34" t="s">
        <v>40</v>
      </c>
      <c r="C34" t="s">
        <v>19</v>
      </c>
      <c r="D34">
        <v>7.4533317458571308E-2</v>
      </c>
      <c r="E34">
        <v>7.4533317458571308E-2</v>
      </c>
      <c r="F34">
        <v>1.1514820356239652</v>
      </c>
      <c r="G34" t="s">
        <v>14</v>
      </c>
    </row>
    <row r="35" spans="1:7">
      <c r="A35" t="s">
        <v>212</v>
      </c>
      <c r="B35" t="s">
        <v>40</v>
      </c>
      <c r="C35" t="s">
        <v>35</v>
      </c>
      <c r="D35">
        <v>6.5709067071616542E-2</v>
      </c>
      <c r="E35">
        <v>6.5709067071616542E-2</v>
      </c>
      <c r="F35">
        <v>1.1122872616086309E-2</v>
      </c>
      <c r="G35" t="s">
        <v>14</v>
      </c>
    </row>
    <row r="36" spans="1:7">
      <c r="A36" t="s">
        <v>212</v>
      </c>
      <c r="B36" t="s">
        <v>40</v>
      </c>
      <c r="C36" t="s">
        <v>32</v>
      </c>
      <c r="D36">
        <v>-5.5065192383488906E-2</v>
      </c>
      <c r="E36">
        <v>5.5065192383488906E-2</v>
      </c>
      <c r="F36">
        <v>-0.96708988397767026</v>
      </c>
      <c r="G36" t="s">
        <v>23</v>
      </c>
    </row>
    <row r="37" spans="1:7">
      <c r="A37" t="s">
        <v>212</v>
      </c>
      <c r="B37" t="s">
        <v>40</v>
      </c>
      <c r="C37" t="s">
        <v>216</v>
      </c>
      <c r="D37">
        <v>-4.9229940590272907E-2</v>
      </c>
      <c r="E37">
        <v>4.9229940590272907E-2</v>
      </c>
      <c r="F37">
        <v>-0.6646290611100254</v>
      </c>
      <c r="G37" t="s">
        <v>23</v>
      </c>
    </row>
    <row r="38" spans="1:7">
      <c r="A38" t="s">
        <v>212</v>
      </c>
      <c r="B38" t="s">
        <v>40</v>
      </c>
      <c r="C38" t="s">
        <v>215</v>
      </c>
      <c r="D38">
        <v>-2.4343256443550294E-2</v>
      </c>
      <c r="E38">
        <v>2.4343256443550294E-2</v>
      </c>
      <c r="F38">
        <v>-0.35936114507320616</v>
      </c>
      <c r="G38" t="s">
        <v>23</v>
      </c>
    </row>
    <row r="39" spans="1:7">
      <c r="A39" t="s">
        <v>212</v>
      </c>
      <c r="B39" t="s">
        <v>40</v>
      </c>
      <c r="C39" t="s">
        <v>26</v>
      </c>
      <c r="D39">
        <v>1.9997370329543351E-2</v>
      </c>
      <c r="E39">
        <v>1.9997370329543351E-2</v>
      </c>
      <c r="F39">
        <v>0.35120651930442248</v>
      </c>
      <c r="G39" t="s">
        <v>14</v>
      </c>
    </row>
    <row r="40" spans="1:7">
      <c r="A40" t="s">
        <v>212</v>
      </c>
      <c r="B40" t="s">
        <v>40</v>
      </c>
      <c r="C40" t="s">
        <v>56</v>
      </c>
      <c r="D40">
        <v>-1.0629072591981509E-2</v>
      </c>
      <c r="E40">
        <v>1.0629072591981509E-2</v>
      </c>
      <c r="F40">
        <v>-1.265187572810321E-3</v>
      </c>
      <c r="G40" t="s">
        <v>23</v>
      </c>
    </row>
    <row r="41" spans="1:7">
      <c r="A41" t="s">
        <v>212</v>
      </c>
      <c r="B41" t="s">
        <v>40</v>
      </c>
      <c r="C41" t="s">
        <v>22</v>
      </c>
      <c r="D41">
        <v>-1.869178523951659E-3</v>
      </c>
      <c r="E41">
        <v>1.869178523951659E-3</v>
      </c>
      <c r="F41">
        <v>-3.5304097903808562E-4</v>
      </c>
      <c r="G4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showGridLines="0" workbookViewId="0"/>
  </sheetViews>
  <sheetFormatPr baseColWidth="10" defaultColWidth="8.83203125" defaultRowHeight="15"/>
  <cols>
    <col min="1" max="1" width="31.33203125" customWidth="1"/>
    <col min="2" max="2" width="109.83203125" customWidth="1"/>
  </cols>
  <sheetData>
    <row r="1" spans="1:2" ht="16">
      <c r="A1" s="1" t="s">
        <v>217</v>
      </c>
      <c r="B1" s="1" t="s">
        <v>218</v>
      </c>
    </row>
    <row r="2" spans="1:2">
      <c r="A2" t="s">
        <v>219</v>
      </c>
      <c r="B2" t="s">
        <v>220</v>
      </c>
    </row>
    <row r="3" spans="1:2">
      <c r="A3" t="s">
        <v>221</v>
      </c>
      <c r="B3" t="s">
        <v>222</v>
      </c>
    </row>
    <row r="4" spans="1:2">
      <c r="A4" t="s">
        <v>223</v>
      </c>
      <c r="B4" t="s">
        <v>224</v>
      </c>
    </row>
    <row r="5" spans="1:2">
      <c r="A5" t="s">
        <v>225</v>
      </c>
      <c r="B5" t="s">
        <v>226</v>
      </c>
    </row>
    <row r="6" spans="1:2">
      <c r="A6" t="s">
        <v>227</v>
      </c>
      <c r="B6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Clean Data</vt:lpstr>
      <vt:lpstr>Impression Clusters</vt:lpstr>
      <vt:lpstr>Growth Trend</vt:lpstr>
      <vt:lpstr>Regression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Loureiro Sandim De Almeida</cp:lastModifiedBy>
  <dcterms:modified xsi:type="dcterms:W3CDTF">2026-05-01T14:06:08Z</dcterms:modified>
</cp:coreProperties>
</file>